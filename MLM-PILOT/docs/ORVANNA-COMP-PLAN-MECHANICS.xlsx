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owar\Desktop\Desktop\ORVANNA\MLM-PILOT\docs\"/>
    </mc:Choice>
  </mc:AlternateContent>
  <xr:revisionPtr revIDLastSave="0" documentId="13_ncr:1_{FCBB8923-6F6F-47BA-81F4-834CEADE410A}" xr6:coauthVersionLast="47" xr6:coauthVersionMax="47" xr10:uidLastSave="{00000000-0000-0000-0000-000000000000}"/>
  <bookViews>
    <workbookView xWindow="-120" yWindow="-120" windowWidth="29040" windowHeight="15720" xr2:uid="{00000000-000D-0000-FFFF-FFFF00000000}"/>
  </bookViews>
  <sheets>
    <sheet name="Key" sheetId="1" r:id="rId1"/>
    <sheet name="Parameters" sheetId="2" r:id="rId2"/>
    <sheet name="Ranks and gates" sheetId="3" r:id="rId3"/>
    <sheet name="Layer 1 spine" sheetId="4" r:id="rId4"/>
    <sheet name="Layer 2 overrides" sheetId="5" r:id="rId5"/>
    <sheet name="Layer 3 second leg" sheetId="6" r:id="rId6"/>
    <sheet name="Law B waterfall" sheetId="7" r:id="rId7"/>
    <sheet name="Worked example" sheetId="8" r:id="rId8"/>
    <sheet name="Cap calculator" sheetId="9" r:id="rId9"/>
    <sheet name="Measured results" sheetId="10" r:id="rId10"/>
    <sheet name="Guardrails" sheetId="11" r:id="rId11"/>
    <sheet name="Open 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1" l="1"/>
  <c r="D5" i="11"/>
  <c r="D38" i="10"/>
  <c r="D37" i="10"/>
  <c r="D36" i="10"/>
  <c r="B27" i="10"/>
  <c r="B29" i="10" s="1"/>
  <c r="D21" i="10"/>
  <c r="D20" i="10"/>
  <c r="D19" i="10"/>
  <c r="D18" i="10"/>
  <c r="D17" i="10"/>
  <c r="B11" i="10"/>
  <c r="C10" i="10"/>
  <c r="C9" i="10"/>
  <c r="C8" i="10"/>
  <c r="C7" i="10"/>
  <c r="C6" i="10"/>
  <c r="C5" i="10"/>
  <c r="B11" i="9"/>
  <c r="B10" i="9"/>
  <c r="B18" i="9" s="1"/>
  <c r="B9" i="9"/>
  <c r="B8" i="9"/>
  <c r="F40" i="8"/>
  <c r="D39" i="8"/>
  <c r="E39" i="8" s="1"/>
  <c r="F38" i="8"/>
  <c r="F37" i="8"/>
  <c r="D36" i="8"/>
  <c r="E36" i="8" s="1"/>
  <c r="F36" i="8" s="1"/>
  <c r="D35" i="8"/>
  <c r="E35" i="8" s="1"/>
  <c r="F34" i="8"/>
  <c r="B28" i="8"/>
  <c r="N28" i="8" s="1"/>
  <c r="B27" i="8"/>
  <c r="N27" i="8" s="1"/>
  <c r="B26" i="8"/>
  <c r="N26" i="8" s="1"/>
  <c r="B25" i="8"/>
  <c r="H25" i="8" s="1"/>
  <c r="B24" i="8"/>
  <c r="H24" i="8" s="1"/>
  <c r="B23" i="8"/>
  <c r="F23" i="8" s="1"/>
  <c r="B22" i="8"/>
  <c r="H22" i="8" s="1"/>
  <c r="B21" i="8"/>
  <c r="F21" i="8" s="1"/>
  <c r="B20" i="8"/>
  <c r="E20" i="8" s="1"/>
  <c r="B19" i="8"/>
  <c r="N19" i="8" s="1"/>
  <c r="P19" i="8" s="1"/>
  <c r="Q19" i="8" s="1"/>
  <c r="C15" i="8"/>
  <c r="B16" i="7"/>
  <c r="B15" i="7"/>
  <c r="C23" i="6"/>
  <c r="D23" i="6" s="1"/>
  <c r="C22" i="6"/>
  <c r="D22" i="6" s="1"/>
  <c r="C21" i="6"/>
  <c r="D21" i="6" s="1"/>
  <c r="B16" i="6"/>
  <c r="C16" i="6" s="1"/>
  <c r="D16" i="6" s="1"/>
  <c r="B15" i="6"/>
  <c r="C15" i="6" s="1"/>
  <c r="D15" i="6" s="1"/>
  <c r="B14" i="6"/>
  <c r="C14" i="6" s="1"/>
  <c r="D14" i="6" s="1"/>
  <c r="B7" i="6"/>
  <c r="B8" i="5"/>
  <c r="B7" i="5"/>
  <c r="B14" i="4"/>
  <c r="B9" i="4"/>
  <c r="F9" i="4" s="1"/>
  <c r="B8" i="4"/>
  <c r="F8" i="4" s="1"/>
  <c r="B7" i="4"/>
  <c r="E7" i="4" s="1"/>
  <c r="B6" i="4"/>
  <c r="F6" i="4" s="1"/>
  <c r="B5" i="4"/>
  <c r="F5" i="4" s="1"/>
  <c r="F26" i="8" l="1"/>
  <c r="N25" i="8"/>
  <c r="E26" i="8"/>
  <c r="I26" i="8" s="1"/>
  <c r="F7" i="4"/>
  <c r="F10" i="4" s="1"/>
  <c r="H26" i="8"/>
  <c r="H27" i="8"/>
  <c r="H20" i="8"/>
  <c r="J20" i="8" s="1"/>
  <c r="K20" i="8" s="1"/>
  <c r="B19" i="9"/>
  <c r="B20" i="9"/>
  <c r="F20" i="8"/>
  <c r="I20" i="8" s="1"/>
  <c r="N22" i="8"/>
  <c r="P22" i="8" s="1"/>
  <c r="Q22" i="8" s="1"/>
  <c r="B29" i="8"/>
  <c r="B10" i="4"/>
  <c r="B13" i="4" s="1"/>
  <c r="B15" i="4" s="1"/>
  <c r="H21" i="8"/>
  <c r="N20" i="8"/>
  <c r="N21" i="8"/>
  <c r="P21" i="8" s="1"/>
  <c r="F27" i="8"/>
  <c r="E19" i="8"/>
  <c r="F19" i="8"/>
  <c r="N23" i="8"/>
  <c r="H19" i="8"/>
  <c r="J19" i="8" s="1"/>
  <c r="E5" i="4"/>
  <c r="N24" i="8"/>
  <c r="J26" i="8"/>
  <c r="K26" i="8" s="1"/>
  <c r="J22" i="8"/>
  <c r="K22" i="8" s="1"/>
  <c r="J24" i="8"/>
  <c r="K24" i="8" s="1"/>
  <c r="E42" i="8"/>
  <c r="F35" i="8"/>
  <c r="P25" i="8"/>
  <c r="Q25" i="8" s="1"/>
  <c r="E6" i="4"/>
  <c r="E28" i="8"/>
  <c r="B21" i="9"/>
  <c r="E27" i="8"/>
  <c r="F28" i="8"/>
  <c r="B14" i="9"/>
  <c r="E9" i="4"/>
  <c r="E10" i="4" s="1"/>
  <c r="E21" i="8"/>
  <c r="I21" i="8" s="1"/>
  <c r="F22" i="8"/>
  <c r="H23" i="8"/>
  <c r="H28" i="8"/>
  <c r="B22" i="9"/>
  <c r="E25" i="8"/>
  <c r="E8" i="4"/>
  <c r="E24" i="8"/>
  <c r="F25" i="8"/>
  <c r="B12" i="9"/>
  <c r="E23" i="8"/>
  <c r="I23" i="8" s="1"/>
  <c r="F24" i="8"/>
  <c r="J27" i="8"/>
  <c r="K27" i="8" s="1"/>
  <c r="E22" i="8"/>
  <c r="O20" i="8" l="1"/>
  <c r="P20" i="8" s="1"/>
  <c r="Q20" i="8" s="1"/>
  <c r="R20" i="8" s="1"/>
  <c r="S20" i="8" s="1"/>
  <c r="K19" i="8"/>
  <c r="I19" i="8"/>
  <c r="I22" i="8"/>
  <c r="O22" i="8" s="1"/>
  <c r="N29" i="8"/>
  <c r="Q21" i="8"/>
  <c r="I27" i="8"/>
  <c r="O27" i="8" s="1"/>
  <c r="P27" i="8" s="1"/>
  <c r="Q27" i="8" s="1"/>
  <c r="R27" i="8" s="1"/>
  <c r="S27" i="8" s="1"/>
  <c r="I28" i="8"/>
  <c r="O26" i="8"/>
  <c r="P26" i="8" s="1"/>
  <c r="Q26" i="8" s="1"/>
  <c r="B13" i="9"/>
  <c r="C22" i="9"/>
  <c r="B15" i="9"/>
  <c r="C21" i="9"/>
  <c r="C20" i="9"/>
  <c r="C19" i="9"/>
  <c r="C18" i="9"/>
  <c r="I24" i="8"/>
  <c r="O24" i="8" s="1"/>
  <c r="P24" i="8" s="1"/>
  <c r="Q24" i="8" s="1"/>
  <c r="R24" i="8" s="1"/>
  <c r="S24" i="8" s="1"/>
  <c r="I25" i="8"/>
  <c r="J23" i="8"/>
  <c r="K23" i="8" s="1"/>
  <c r="R22" i="8"/>
  <c r="S22" i="8" s="1"/>
  <c r="R19" i="8"/>
  <c r="O19" i="8"/>
  <c r="J21" i="8"/>
  <c r="K21" i="8" s="1"/>
  <c r="H29" i="8"/>
  <c r="E29" i="8"/>
  <c r="J28" i="8"/>
  <c r="K28" i="8" s="1"/>
  <c r="F29" i="8"/>
  <c r="R21" i="8" l="1"/>
  <c r="S21" i="8" s="1"/>
  <c r="O23" i="8"/>
  <c r="P23" i="8" s="1"/>
  <c r="Q23" i="8" s="1"/>
  <c r="O28" i="8"/>
  <c r="P28" i="8" s="1"/>
  <c r="Q28" i="8" s="1"/>
  <c r="R28" i="8" s="1"/>
  <c r="S28" i="8" s="1"/>
  <c r="O21" i="8"/>
  <c r="J25" i="8"/>
  <c r="K25" i="8" s="1"/>
  <c r="R25" i="8" s="1"/>
  <c r="S25" i="8" s="1"/>
  <c r="S19" i="8"/>
  <c r="R26" i="8"/>
  <c r="S26" i="8" s="1"/>
  <c r="F39" i="8" l="1"/>
  <c r="F42" i="8" s="1"/>
  <c r="B45" i="8" s="1"/>
  <c r="O25" i="8"/>
  <c r="K29" i="8"/>
  <c r="Q29" i="8"/>
  <c r="R23" i="8"/>
  <c r="B49" i="8" l="1"/>
  <c r="B48" i="8"/>
  <c r="S23" i="8"/>
  <c r="R29" i="8"/>
  <c r="B46" i="8" l="1"/>
  <c r="B47" i="8"/>
  <c r="S29" i="8"/>
  <c r="B51" i="8"/>
</calcChain>
</file>

<file path=xl/sharedStrings.xml><?xml version="1.0" encoding="utf-8"?>
<sst xmlns="http://schemas.openxmlformats.org/spreadsheetml/2006/main" count="688" uniqueCount="561">
  <si>
    <t>Orvanna Builder compensation plan: the mechanics</t>
  </si>
  <si>
    <t>Numbers and rules only. Source of truth: ORVANNA-BUILDER-PLAN-SPEC.md v1.2.2 and COMP-PLAN-SPEC.md v1.3.</t>
  </si>
  <si>
    <t>Sheet</t>
  </si>
  <si>
    <t>What is on it</t>
  </si>
  <si>
    <t>Parameters</t>
  </si>
  <si>
    <t>Every rate and dial in one place. The only cells anyone should change.</t>
  </si>
  <si>
    <t>Ranks and gates</t>
  </si>
  <si>
    <t>The one qualification gate, the five ranks, the paid depth each rank unlocks.</t>
  </si>
  <si>
    <t>Layer 1 spine</t>
  </si>
  <si>
    <t>Unilevel level pay: 10/5/5/3/2 percent, and the arithmetic that makes the spine always fit.</t>
  </si>
  <si>
    <t>Layer 2 overrides</t>
  </si>
  <si>
    <t>Builder overrides: the two-generation boundary walk, stated as executable steps.</t>
  </si>
  <si>
    <t>Layer 3 second leg</t>
  </si>
  <si>
    <t>The second-strongest-leg bonus and its active-leg multiplier.</t>
  </si>
  <si>
    <t>Law B waterfall</t>
  </si>
  <si>
    <t>The per-order cap: pool, seniority, proration factors, the invariant.</t>
  </si>
  <si>
    <t>Worked example</t>
  </si>
  <si>
    <t>The ten-member gate fixture, live: every source, every factor, every check to the cent.</t>
  </si>
  <si>
    <t>Cap calculator</t>
  </si>
  <si>
    <t>Type an order price, see the pool, the spine's maximum bite, and the headroom left.</t>
  </si>
  <si>
    <t>Measured results</t>
  </si>
  <si>
    <t>What the plan actually paid on the seeded census: cost, proration, development premium.</t>
  </si>
  <si>
    <t>Guardrails</t>
  </si>
  <si>
    <t>Anti-gaming arithmetic: what every known attack returns per dollar spent.</t>
  </si>
  <si>
    <t>Open items</t>
  </si>
  <si>
    <t>The eight parameters still on default, waiting on a ruling.</t>
  </si>
  <si>
    <t>Term</t>
  </si>
  <si>
    <t>Written out in full</t>
  </si>
  <si>
    <t>Meaning here</t>
  </si>
  <si>
    <t>PV</t>
  </si>
  <si>
    <t>Personal Volume</t>
  </si>
  <si>
    <t>Point value carried by a product. In this plan PV equals dollars, one to one.</t>
  </si>
  <si>
    <t>SV</t>
  </si>
  <si>
    <t>Sales Volume</t>
  </si>
  <si>
    <t>A member's own PV for the month, across everything booked to their account.</t>
  </si>
  <si>
    <t>CV</t>
  </si>
  <si>
    <t>Commissionable Volume</t>
  </si>
  <si>
    <t>0.80 times SV, rounded half up. Every commission percentage applies to CV.</t>
  </si>
  <si>
    <t>TV</t>
  </si>
  <si>
    <t>Team Volume</t>
  </si>
  <si>
    <t>Sum of SV of everyone strictly below the member. Excludes their own SV.</t>
  </si>
  <si>
    <t>Group CV</t>
  </si>
  <si>
    <t>Group Commissionable Volume</t>
  </si>
  <si>
    <t>A member's own CV plus the CV of their entire subtree, full depth.</t>
  </si>
  <si>
    <t>Leg</t>
  </si>
  <si>
    <t>One personally sponsored member plus that member's whole subtree.</t>
  </si>
  <si>
    <t>Active leg</t>
  </si>
  <si>
    <t>A leg whose frontline member is qualified this month.</t>
  </si>
  <si>
    <t>Source</t>
  </si>
  <si>
    <t>Source member-month</t>
  </si>
  <si>
    <t>The member whose volume a commission is being paid ON.</t>
  </si>
  <si>
    <t>Earner</t>
  </si>
  <si>
    <t>The member being paid.</t>
  </si>
  <si>
    <t>Breakage</t>
  </si>
  <si>
    <t>Volume nobody was paid on: earner unqualified, or the level was out of reach.</t>
  </si>
  <si>
    <t>Proration</t>
  </si>
  <si>
    <t>A layer 2 or layer 3 claim paid at less than face value because the cap bound.</t>
  </si>
  <si>
    <t>Cell colour</t>
  </si>
  <si>
    <t>Means</t>
  </si>
  <si>
    <t>Blue text</t>
  </si>
  <si>
    <t>Hardcoded input or lever. Change these.</t>
  </si>
  <si>
    <t>Green text</t>
  </si>
  <si>
    <t>Pulled from another sheet in this workbook.</t>
  </si>
  <si>
    <t>Black text</t>
  </si>
  <si>
    <t>Formula. Do not overwrite.</t>
  </si>
  <si>
    <t>Pink fill</t>
  </si>
  <si>
    <t>The cap is binding on that row.</t>
  </si>
  <si>
    <t>Rates of record are the calibrated values in force. Draft rates are kept because the gate fixture is contracted at them.</t>
  </si>
  <si>
    <t>Parameter</t>
  </si>
  <si>
    <t>Rate of record</t>
  </si>
  <si>
    <t>Draft rate</t>
  </si>
  <si>
    <t>Applies to</t>
  </si>
  <si>
    <t>Fixed or tunable</t>
  </si>
  <si>
    <t>Level 1 rate</t>
  </si>
  <si>
    <t>Layer 1 spine, source at tree distance 1</t>
  </si>
  <si>
    <t>Fixed: the live plan</t>
  </si>
  <si>
    <t>Level 2 rate</t>
  </si>
  <si>
    <t>Layer 1 spine, tree distance 2</t>
  </si>
  <si>
    <t>Level 3 rate</t>
  </si>
  <si>
    <t>Layer 1 spine, tree distance 3</t>
  </si>
  <si>
    <t>Level 4 rate</t>
  </si>
  <si>
    <t>Layer 1 spine, tree distance 4</t>
  </si>
  <si>
    <t>Level 5 rate</t>
  </si>
  <si>
    <t>Layer 1 spine, tree distance 5</t>
  </si>
  <si>
    <t>Generation 1 override rate</t>
  </si>
  <si>
    <t>Layer 2, on a Builder's group CV</t>
  </si>
  <si>
    <t>Tunable</t>
  </si>
  <si>
    <t>Generation 2 override rate</t>
  </si>
  <si>
    <t>Layer 2, second generation</t>
  </si>
  <si>
    <t>Second-leg base rate</t>
  </si>
  <si>
    <t>Layer 3, on the second-strongest leg's CV</t>
  </si>
  <si>
    <t>Leg multiplier, 2 active legs</t>
  </si>
  <si>
    <t>Layer 3 step</t>
  </si>
  <si>
    <t>Leg multiplier, 3 active legs</t>
  </si>
  <si>
    <t>Leg multiplier, 4 or more</t>
  </si>
  <si>
    <t>Pool rate</t>
  </si>
  <si>
    <t>Law B: pool = pool rate times source CV</t>
  </si>
  <si>
    <t>Tunable, but see Open items</t>
  </si>
  <si>
    <t>Qualification gate, SV</t>
  </si>
  <si>
    <t>Every layer, every rank, earner side</t>
  </si>
  <si>
    <t>Fixed</t>
  </si>
  <si>
    <t>CV factor</t>
  </si>
  <si>
    <t>CV = CV factor times SV</t>
  </si>
  <si>
    <t>Seniority order in the cap</t>
  </si>
  <si>
    <t>Position</t>
  </si>
  <si>
    <t>Prorates when the pool runs out?</t>
  </si>
  <si>
    <t>Layer 1, the spine</t>
  </si>
  <si>
    <t>First</t>
  </si>
  <si>
    <t>Never. It cannot exceed the pool. See Layer 1 spine.</t>
  </si>
  <si>
    <t>Layer 2, Builder overrides</t>
  </si>
  <si>
    <t>Second</t>
  </si>
  <si>
    <t>Yes. Generations 1 and 2 share one class, pro rata.</t>
  </si>
  <si>
    <t>Layer 3, second-leg bonus</t>
  </si>
  <si>
    <t>Third</t>
  </si>
  <si>
    <t>Yes. Paid from whatever layers 1 and 2 left.</t>
  </si>
  <si>
    <t>The calibration of 2026-08-16 scaled the three tunable rates by one common factor of 0.4075 (window midpoint 3.0 divided by the measured increment 7.3627) and rounded each to the nearest 0.005.</t>
  </si>
  <si>
    <t>Draft rates are retained because the ten-member gate fixture is contracted at them. Every run records the rates it used, so the fixture's arithmetic is the contract, not the calibration.</t>
  </si>
  <si>
    <t>Recomputed from scratch every month. Nothing is banked, grandfathered, or carried forward.</t>
  </si>
  <si>
    <t>Rank</t>
  </si>
  <si>
    <t>Qualified?</t>
  </si>
  <si>
    <t>Team Volume needed</t>
  </si>
  <si>
    <t>Leg requirement</t>
  </si>
  <si>
    <t>Paid depth</t>
  </si>
  <si>
    <t>Levels the member is paid on</t>
  </si>
  <si>
    <t>Member</t>
  </si>
  <si>
    <t>not required</t>
  </si>
  <si>
    <t>none</t>
  </si>
  <si>
    <t>Level 1 only</t>
  </si>
  <si>
    <t>Builder</t>
  </si>
  <si>
    <t>yes</t>
  </si>
  <si>
    <t>2 or more active legs</t>
  </si>
  <si>
    <t>Levels 1 to 2</t>
  </si>
  <si>
    <t>Leader</t>
  </si>
  <si>
    <t>3 or more active legs</t>
  </si>
  <si>
    <t>Levels 1 to 3</t>
  </si>
  <si>
    <t>Director</t>
  </si>
  <si>
    <t>2 or more legs, each containing a Builder or higher</t>
  </si>
  <si>
    <t>Levels 1 to 4</t>
  </si>
  <si>
    <t>Executive</t>
  </si>
  <si>
    <t>2 or more legs, each containing a Leader or higher</t>
  </si>
  <si>
    <t>Levels 1 to 5</t>
  </si>
  <si>
    <t>Rule</t>
  </si>
  <si>
    <t>Value</t>
  </si>
  <si>
    <t>The qualification gate</t>
  </si>
  <si>
    <t>SV greater than or equal to 100.00 in the month. One threshold, both jobs.</t>
  </si>
  <si>
    <t>Ways to meet it</t>
  </si>
  <si>
    <t>One domain agent at 100 PV, or two support agents at 50 PV each, or any mix reaching 100.</t>
  </si>
  <si>
    <t>Every threshold</t>
  </si>
  <si>
    <t>Greater than or equal to. Exactly 100.00 qualifies. Exactly 2,500 is Leader.</t>
  </si>
  <si>
    <t>Rank held</t>
  </si>
  <si>
    <t>The highest rank whose requirements all hold in the same month.</t>
  </si>
  <si>
    <t>Grace months</t>
  </si>
  <si>
    <t>None in version 1. Qualification resets every month.</t>
  </si>
  <si>
    <t>Earner must be qualified</t>
  </si>
  <si>
    <t>Yes, on all three layers. An unqualified member earns nothing.</t>
  </si>
  <si>
    <t>Source must be qualified</t>
  </si>
  <si>
    <t>No. All CV pays upline whoever generated it.</t>
  </si>
  <si>
    <t>Compression</t>
  </si>
  <si>
    <t>None in version 1. Levels are plain tree distance.</t>
  </si>
  <si>
    <t>Placement tree</t>
  </si>
  <si>
    <t>None anywhere in this plan. Legs are the real sponsor genealogy.</t>
  </si>
  <si>
    <t>Customer volume</t>
  </si>
  <si>
    <t>Books to the referring member's account, so it counts toward their SV and qualification.</t>
  </si>
  <si>
    <t>Product</t>
  </si>
  <si>
    <t>Price per month</t>
  </si>
  <si>
    <t>PV per month</t>
  </si>
  <si>
    <t>Counts toward the gate</t>
  </si>
  <si>
    <t>Domain agent (Payment, Shipping, Pricing, Inventory, Marketing, Tax)</t>
  </si>
  <si>
    <t>Qualifies on its own</t>
  </si>
  <si>
    <t>Support agent (Software Engineer, Quality Assurance, Secretary, Chief Executive, Accounting, Customer Care)</t>
  </si>
  <si>
    <t>Two of them qualify</t>
  </si>
  <si>
    <t>PV equals dollars one to one. A subscription grants its PV every month it is active; cancel and the PV stops.</t>
  </si>
  <si>
    <t>Layer 1, the spine: unilevel level pay</t>
  </si>
  <si>
    <t>Identical to the live plan, unchanged. A member who understands today's plan already understands this layer.</t>
  </si>
  <si>
    <t>Level</t>
  </si>
  <si>
    <t>Rate</t>
  </si>
  <si>
    <t>Paid to</t>
  </si>
  <si>
    <t>Unlocked at rank</t>
  </si>
  <si>
    <t>On a source with CV 80.00</t>
  </si>
  <si>
    <t>On a source with CV 1,000.00</t>
  </si>
  <si>
    <t>The sponsor</t>
  </si>
  <si>
    <t>The sponsor's sponsor</t>
  </si>
  <si>
    <t>Three up</t>
  </si>
  <si>
    <t>Four up</t>
  </si>
  <si>
    <t>Five up</t>
  </si>
  <si>
    <t>Total</t>
  </si>
  <si>
    <t>All five levels claimed at once</t>
  </si>
  <si>
    <t>Why the spine never prorates</t>
  </si>
  <si>
    <t>Maximum the spine can claim from one source</t>
  </si>
  <si>
    <t>The pool available on that source (Law B)</t>
  </si>
  <si>
    <t>Headroom left for layers 2 and 3</t>
  </si>
  <si>
    <t>Only one ancestor can occupy each level, so the spine's worst case is exactly 25 percent of CV: it always fits. Layers 2 and 3 are funded exclusively by what the spine did NOT claim, which is breakage: unreachable levels, unqualified earners, depth gates. The team-building money is reclaimed breakage and nothing else.</t>
  </si>
  <si>
    <t>Rounding rule</t>
  </si>
  <si>
    <t>Round half up to 2 decimals at the LINE level</t>
  </si>
  <si>
    <t>Every spine line, and any line no proration touched</t>
  </si>
  <si>
    <t>Round DOWN (floor) to 2 decimals</t>
  </si>
  <si>
    <t>Any line where at least one per-source piece was prorated</t>
  </si>
  <si>
    <t>Never re-round</t>
  </si>
  <si>
    <t>Member totals and company totals are sums of already-rounded lines</t>
  </si>
  <si>
    <t>Pays a member on the whole organization of each Builder they developed, two generations deep. No breakaway: no volume ever leaves anyone's group.</t>
  </si>
  <si>
    <t>Item</t>
  </si>
  <si>
    <t>Trigger</t>
  </si>
  <si>
    <t>Every downline member holding Builder rank or above this month, evaluated independently.</t>
  </si>
  <si>
    <t>Basis</t>
  </si>
  <si>
    <t>That Builder's GROUP CV: their own CV plus the CV of their entire subtree, full depth, nothing excluded.</t>
  </si>
  <si>
    <t>Generation 1 rate</t>
  </si>
  <si>
    <t>Generation 2 rate</t>
  </si>
  <si>
    <t>Generations paid</t>
  </si>
  <si>
    <t>Two. The walk stops when the boundary counter reaches 2, or at the root.</t>
  </si>
  <si>
    <t>Boundary</t>
  </si>
  <si>
    <t>A Builder or above. Generations here are counted by Builder-rank boundaries, not by tree levels.</t>
  </si>
  <si>
    <t>Earner gate</t>
  </si>
  <si>
    <t>Qualified. No rank of their own is required: the walk already demands a developed Builder below.</t>
  </si>
  <si>
    <t>Breakaway</t>
  </si>
  <si>
    <t>None. A nested Builder's group stays inside every enclosing group, so groups NEST.</t>
  </si>
  <si>
    <t>Step</t>
  </si>
  <si>
    <t>The walk, per Builder B, from B upward toward the root</t>
  </si>
  <si>
    <t>Counter</t>
  </si>
  <si>
    <t>Start at B's sponsor with a boundary counter of 0. At each member: FIRST evaluate, THEN count.</t>
  </si>
  <si>
    <t>0</t>
  </si>
  <si>
    <t>EVALUATE: if the member is qualified AND the counter is 0 AND generation 1 is unassigned, they earn generation 1 rate times B's group CV.</t>
  </si>
  <si>
    <t>still 0</t>
  </si>
  <si>
    <t>EVALUATE: else if the member is qualified AND the counter is 1 AND generation 2 is unassigned, they earn generation 2 rate times B's group CV.</t>
  </si>
  <si>
    <t>still 1</t>
  </si>
  <si>
    <t>COUNT: if the member just evaluated holds Builder rank or above, add 1 to the counter.</t>
  </si>
  <si>
    <t>+1</t>
  </si>
  <si>
    <t>STOP when the counter reaches 2, or at the root.</t>
  </si>
  <si>
    <t>2</t>
  </si>
  <si>
    <t>Consequence of the walk</t>
  </si>
  <si>
    <t>Detail</t>
  </si>
  <si>
    <t>Generation 1 normally goes to the sponsor</t>
  </si>
  <si>
    <t>Precisely: to the first QUALIFIED member above B with no Builder in between.</t>
  </si>
  <si>
    <t>An unqualified member is skipped entirely</t>
  </si>
  <si>
    <t>Passed over without earning and without incrementing the counter.</t>
  </si>
  <si>
    <t>Generation 2 exists only when</t>
  </si>
  <si>
    <t>A Builder or above sits between B and the generation 2 recipient.</t>
  </si>
  <si>
    <t>One member can hold both</t>
  </si>
  <si>
    <t>Generation 1 for one Builder and generation 2 for a deeper one, in the same month.</t>
  </si>
  <si>
    <t>Developing a Builder costs the upline nothing</t>
  </si>
  <si>
    <t>There is no rank a downline can reach that removes a cent of volume from anyone above them.</t>
  </si>
  <si>
    <t>Honest consequence, stated rather than hidden: because groups nest, one source member's CV can back override claims for several enclosing Builders at once. Layer 2 is therefore NOT bounded by its rates. The Law B waterfall is the ceiling, and it is absolute.</t>
  </si>
  <si>
    <t>Layer 3, the second-leg bonus</t>
  </si>
  <si>
    <t>Pays on the SECOND-strongest leg. One giant leg pays nothing extra, by construction.</t>
  </si>
  <si>
    <t>Eligibility</t>
  </si>
  <si>
    <t>Qualified AND at least 2 ACTIVE legs this month.</t>
  </si>
  <si>
    <t>The CV of the second-strongest leg, ranked by leg CV descending, ties broken by frontline member id ascending.</t>
  </si>
  <si>
    <t>Base rate</t>
  </si>
  <si>
    <t>Ranking universe</t>
  </si>
  <si>
    <t>ALL legs, by CV. Qualification is irrelevant to leg CV: volume is volume.</t>
  </si>
  <si>
    <t>Multiplier universe</t>
  </si>
  <si>
    <t>ACTIVE legs only. So a member with two active legs and a fat inactive third is still paid on the second-strongest by volume.</t>
  </si>
  <si>
    <t>Lines produced</t>
  </si>
  <si>
    <t>One per earner. No source member, no level: the basis is an aggregate, like binary's pay leg.</t>
  </si>
  <si>
    <t>Carryover</t>
  </si>
  <si>
    <t>None. Nothing banks month to month.</t>
  </si>
  <si>
    <t>Active legs</t>
  </si>
  <si>
    <t>Multiplier</t>
  </si>
  <si>
    <t>Effective rate</t>
  </si>
  <si>
    <t>On a second leg of 1,000.00 CV</t>
  </si>
  <si>
    <t>2 active legs</t>
  </si>
  <si>
    <t>3 active legs</t>
  </si>
  <si>
    <t>4 or more active legs</t>
  </si>
  <si>
    <t>fewer than 2</t>
  </si>
  <si>
    <t>n/a</t>
  </si>
  <si>
    <t>Ineligible</t>
  </si>
  <si>
    <t>-</t>
  </si>
  <si>
    <t>The dilution test: why splitting volume across more legs loses</t>
  </si>
  <si>
    <t>Legs (k)</t>
  </si>
  <si>
    <t>Pays, per unit of downline volume V</t>
  </si>
  <si>
    <t>Everything in one leg</t>
  </si>
  <si>
    <t>Two balanced legs: the optimum</t>
  </si>
  <si>
    <t>Three balanced legs</t>
  </si>
  <si>
    <t>Four balanced legs</t>
  </si>
  <si>
    <t>The multiplier softens the dilution but never reverses it: multiplier(k) divided by k must strictly decrease in k, so shell legs strictly lose. And shell legs cannot even be counted, because the multiplier counts ACTIVE legs, which require real qualified frontline members.</t>
  </si>
  <si>
    <t>Law B: the per-order cap</t>
  </si>
  <si>
    <t>Computed per source member-month, as closed formulas over the complete claim set. No enumeration order can change any factor.</t>
  </si>
  <si>
    <t>Quantity</t>
  </si>
  <si>
    <t>Formula</t>
  </si>
  <si>
    <t>Pool</t>
  </si>
  <si>
    <t>pool = pool rate x CV of the source</t>
  </si>
  <si>
    <t>The most that source can ever pay out, all layers combined.</t>
  </si>
  <si>
    <t>Spine paid</t>
  </si>
  <si>
    <t>sum of the level rates that actually reached</t>
  </si>
  <si>
    <t>Paid in full, always. It cannot exceed the pool.</t>
  </si>
  <si>
    <t>Remainder after spine</t>
  </si>
  <si>
    <t>R2 = pool - spine paid</t>
  </si>
  <si>
    <t>Everything layer 2 and layer 3 have to share.</t>
  </si>
  <si>
    <t>Layer 2 factor</t>
  </si>
  <si>
    <t>f2 = 1 if L2 claims fit, else R2 / L2 claims</t>
  </si>
  <si>
    <t>Generations 1 and 2 share one class, pro rata.</t>
  </si>
  <si>
    <t>Layer 2 paid</t>
  </si>
  <si>
    <t>each claim x f2</t>
  </si>
  <si>
    <t>Truncated at 6 decimals, so paid can never exceed pool.</t>
  </si>
  <si>
    <t>Remainder after layer 2</t>
  </si>
  <si>
    <t>R3 = R2 - layer 2 paid</t>
  </si>
  <si>
    <t>What is left for the bonus.</t>
  </si>
  <si>
    <t>Layer 3 factor</t>
  </si>
  <si>
    <t>f3 = min(1, R3 / L3 claims)</t>
  </si>
  <si>
    <t>Same rule, one step junior.</t>
  </si>
  <si>
    <t>Layer 3 paid</t>
  </si>
  <si>
    <t>each claim x f3</t>
  </si>
  <si>
    <t>Truncated at 6 decimals.</t>
  </si>
  <si>
    <t>The invariant, recomputed per source on every run</t>
  </si>
  <si>
    <t>spine paid + layer 2 paid + layer 3 paid, for every source, is at most</t>
  </si>
  <si>
    <t>Expressed against the money the customer paid</t>
  </si>
  <si>
    <t>CV is 0.80 of SV and PV equals dollars, so a pool of 25 percent of CV is exactly 20 percent of revenue: the ceiling the live plan already promises publicly. This plan does not raise the ceiling. It spends the headroom under it.</t>
  </si>
  <si>
    <t>What this rules out</t>
  </si>
  <si>
    <t>How</t>
  </si>
  <si>
    <t>Cost drift discovered in the accounts months later</t>
  </si>
  <si>
    <t>The cap is enforced inside the calculation, per order, not monitored after the fact.</t>
  </si>
  <si>
    <t>Wrong parameters breaking the bank</t>
  </si>
  <si>
    <t>Even wildly wrong rates cannot breach the pool. Law B holds regardless of parameters.</t>
  </si>
  <si>
    <t>Waterfall arbitrage</t>
  </si>
  <si>
    <t>Claims attach to sources by tree position, not by earner choice. Factors are per-source facts.</t>
  </si>
  <si>
    <t>Ordering effects</t>
  </si>
  <si>
    <t>The factors are closed formulas over the complete claim sets, never a sequential drain of a ledger.</t>
  </si>
  <si>
    <t>The one thing this costs, stated plainly</t>
  </si>
  <si>
    <t>A prorated line is not recomputable by the member</t>
  </si>
  <si>
    <t>It depends on OTHER people's claims on shared sources, per source, at 6 decimals.</t>
  </si>
  <si>
    <t>So the plan requires, as a rule</t>
  </si>
  <si>
    <t>Every prorated line must print the CLAIMED amount, the PAID amount, and a one-line reason. A member-facing surface without it fails its gate.</t>
  </si>
  <si>
    <t>The ten-member gate fixture, computed live</t>
  </si>
  <si>
    <t>At the DRAFT rates by contract: this fixture is the gate, and every run records the rates it used. Change a draft rate on Parameters and every figure below moves.</t>
  </si>
  <si>
    <t>Sponsor</t>
  </si>
  <si>
    <t>Qualified</t>
  </si>
  <si>
    <t>Why that rank</t>
  </si>
  <si>
    <t>M1</t>
  </si>
  <si>
    <t>root</t>
  </si>
  <si>
    <t>TV 2,500 exactly, and 3 active legs (M2, M3, M4)</t>
  </si>
  <si>
    <t>M2</t>
  </si>
  <si>
    <t>Only 1 active leg: M5 is unqualified, M6 is qualified</t>
  </si>
  <si>
    <t>M3</t>
  </si>
  <si>
    <t>SV 100 exactly, and 2 active legs (M7, M8)</t>
  </si>
  <si>
    <t>M4</t>
  </si>
  <si>
    <t>No legs</t>
  </si>
  <si>
    <t>M5</t>
  </si>
  <si>
    <t>no</t>
  </si>
  <si>
    <t>SV 50, below the gate</t>
  </si>
  <si>
    <t>M6</t>
  </si>
  <si>
    <t>M7</t>
  </si>
  <si>
    <t>M8</t>
  </si>
  <si>
    <t>Its only leg, M10, is unqualified: 0 active legs</t>
  </si>
  <si>
    <t>M9</t>
  </si>
  <si>
    <t>M10</t>
  </si>
  <si>
    <t>The waterfall, source by source</t>
  </si>
  <si>
    <t>Spine rates that reached</t>
  </si>
  <si>
    <t>Which ancestors</t>
  </si>
  <si>
    <t>In M3 group?</t>
  </si>
  <si>
    <t>Layer 2 claim</t>
  </si>
  <si>
    <t>R2</t>
  </si>
  <si>
    <t>f2</t>
  </si>
  <si>
    <t>In M1 2nd leg?</t>
  </si>
  <si>
    <t>In M3 2nd leg?</t>
  </si>
  <si>
    <t>Layer 3 claim</t>
  </si>
  <si>
    <t>R3</t>
  </si>
  <si>
    <t>f3</t>
  </si>
  <si>
    <t>Total paid</t>
  </si>
  <si>
    <t>Cap</t>
  </si>
  <si>
    <t>root, nobody above</t>
  </si>
  <si>
    <t>M1 at level 1</t>
  </si>
  <si>
    <t>M2 level 1, M1 level 2</t>
  </si>
  <si>
    <t>M3 level 1, M1 level 2</t>
  </si>
  <si>
    <t>M1 level 3 only</t>
  </si>
  <si>
    <t>M8 L1, M3 L2, M1 L3</t>
  </si>
  <si>
    <t>M10 is the law at its boundary, not in its slack: pool 10.00, spine 8.00, override piece 1.60, leaving 0.40 against a 2.00 bonus claim. f3 becomes 0.200000 and the source pays exactly its cap.</t>
  </si>
  <si>
    <t>Who gets paid, and what the layers cost</t>
  </si>
  <si>
    <t>Layer</t>
  </si>
  <si>
    <t>Claimed</t>
  </si>
  <si>
    <t>Paid</t>
  </si>
  <si>
    <t>Note</t>
  </si>
  <si>
    <t>Levels 1 to 3 on nine sources</t>
  </si>
  <si>
    <t>Layer 2 generation 1</t>
  </si>
  <si>
    <t>On Builder M3's group CV. No proration touched it.</t>
  </si>
  <si>
    <t>Layer 3 second-leg bonus</t>
  </si>
  <si>
    <t>Second-strongest leg is the M2 leg. 3 active legs, so the multiplier is 1.15.</t>
  </si>
  <si>
    <t>Level 1 on M5 and M6. Depth 1 stops there.</t>
  </si>
  <si>
    <t>Levels 1 to 2.</t>
  </si>
  <si>
    <t>SHAVED. The M10 piece prorated from 2.00 to 0.40, so the whole line is floored.</t>
  </si>
  <si>
    <t>Level 1 on M10.</t>
  </si>
  <si>
    <t>M4, M5, M6, M7, M9, M10</t>
  </si>
  <si>
    <t>Nothing</t>
  </si>
  <si>
    <t>Four of ten members are paid. Everything else is breakage.</t>
  </si>
  <si>
    <t>Company</t>
  </si>
  <si>
    <t>All three layers</t>
  </si>
  <si>
    <t>Must equal the waterfall's total paid.</t>
  </si>
  <si>
    <t>Check</t>
  </si>
  <si>
    <t>Must be</t>
  </si>
  <si>
    <t>Company payout, from the earner side</t>
  </si>
  <si>
    <t>354.30</t>
  </si>
  <si>
    <t>Company payout, from the source side</t>
  </si>
  <si>
    <t>the same, to the cent</t>
  </si>
  <si>
    <t>Difference</t>
  </si>
  <si>
    <t>0.00</t>
  </si>
  <si>
    <t>Shaved off by the cap: claimed minus paid</t>
  </si>
  <si>
    <t>1.60, which is M3's bonus piece on M10 going from 2.00 to 0.40</t>
  </si>
  <si>
    <t>Payout as a percent of CV</t>
  </si>
  <si>
    <t>16.4028%</t>
  </si>
  <si>
    <t>The live baseline plan, same month</t>
  </si>
  <si>
    <t>12.22%: shown side by side, never called equal</t>
  </si>
  <si>
    <t>Every source at or under its cap</t>
  </si>
  <si>
    <t>What one order can ever pay</t>
  </si>
  <si>
    <t>Change the blue cell. Everything else follows.</t>
  </si>
  <si>
    <t>Input</t>
  </si>
  <si>
    <t>Order price, in dollars</t>
  </si>
  <si>
    <t>Derived</t>
  </si>
  <si>
    <t>Personal Volume (PV)</t>
  </si>
  <si>
    <t>PV equals dollars, one to one</t>
  </si>
  <si>
    <t>Sales Volume (SV)</t>
  </si>
  <si>
    <t>One order, so SV equals the PV</t>
  </si>
  <si>
    <t>Commissionable Volume (CV)</t>
  </si>
  <si>
    <t>CV factor times SV, rounded half up</t>
  </si>
  <si>
    <t>Qualifies the buyer?</t>
  </si>
  <si>
    <t>The single gate</t>
  </si>
  <si>
    <t>THE POOL: the most this order can ever pay</t>
  </si>
  <si>
    <t>Pool rate times CV. All layers, all people, combined.</t>
  </si>
  <si>
    <t>The same, as a share of the price</t>
  </si>
  <si>
    <t>This is the 20 percent the company already promises</t>
  </si>
  <si>
    <t>Spine's maximum bite, if all five levels reach</t>
  </si>
  <si>
    <t>Only one ancestor can sit at each level</t>
  </si>
  <si>
    <t>Left for layers 2 and 3 in that worst case</t>
  </si>
  <si>
    <t>Zero. Which is why the spine can never be prorated.</t>
  </si>
  <si>
    <t>If the spine only partly reaches</t>
  </si>
  <si>
    <t>Left for layers 2 and 3</t>
  </si>
  <si>
    <t>All five levels reach</t>
  </si>
  <si>
    <t>Levels 1 to 3 reach</t>
  </si>
  <si>
    <t>Levels 1 and 2 reach</t>
  </si>
  <si>
    <t>Nobody above is qualified</t>
  </si>
  <si>
    <t>The right-hand column is the team-building budget. It is breakage and nothing else: money the spine did not reach. Layers 2 and 3 spend it, and can never spend more than it.</t>
  </si>
  <si>
    <t>What the plan actually paid</t>
  </si>
  <si>
    <t>Seeded census, calibrated rates of record. These figures are refreshed per run and must be carried in any presentation of the plan.</t>
  </si>
  <si>
    <t>Month</t>
  </si>
  <si>
    <t>Headroom left under the ceiling</t>
  </si>
  <si>
    <t>February</t>
  </si>
  <si>
    <t>March</t>
  </si>
  <si>
    <t>April</t>
  </si>
  <si>
    <t>May</t>
  </si>
  <si>
    <t>June</t>
  </si>
  <si>
    <t>July</t>
  </si>
  <si>
    <t>Rise over five month-steps</t>
  </si>
  <si>
    <t>About 0.22 points a month at this field maturity</t>
  </si>
  <si>
    <t>The live baseline plan, March</t>
  </si>
  <si>
    <t>The spine alone</t>
  </si>
  <si>
    <t>The hard ceiling</t>
  </si>
  <si>
    <t>Law B. Unreachable by construction.</t>
  </si>
  <si>
    <t>August is excluded on purpose: eleven bridged orders and two members paid is evidence of nothing. The drift is real and intended, the plan pays more as the field develops, and it is bounded above.</t>
  </si>
  <si>
    <t>Proration: how hard the cap is working</t>
  </si>
  <si>
    <t>Count</t>
  </si>
  <si>
    <t>Of</t>
  </si>
  <si>
    <t>Share</t>
  </si>
  <si>
    <t>Sources prorated on at least one layer</t>
  </si>
  <si>
    <t>Of those, binding at layer 2</t>
  </si>
  <si>
    <t>Of those, binding at layer 3</t>
  </si>
  <si>
    <t>Binding ONLY at layer 3</t>
  </si>
  <si>
    <t>Paid members carrying at least one shaved line</t>
  </si>
  <si>
    <t>The denominator is 641, the sources that carry any volume. 360 census sources have zero volume and can never bind, so including them understates the rate. Proration is ROUTINE AND JUNIOR: a working feature, not an edge case.</t>
  </si>
  <si>
    <t>Amounts prorated away</t>
  </si>
  <si>
    <t>Shaved off layer 2</t>
  </si>
  <si>
    <t>Shaved off layer 3</t>
  </si>
  <si>
    <t>Total shaved</t>
  </si>
  <si>
    <t>Total paid in the run</t>
  </si>
  <si>
    <t>Shaved as a share of the run</t>
  </si>
  <si>
    <t>Worst single member shaved</t>
  </si>
  <si>
    <t>Worst ratio, against claims the cap can reach</t>
  </si>
  <si>
    <t>Members who lost 100 percent of their structure claims</t>
  </si>
  <si>
    <t>The spine is never shaved, so no member's live-plan-equivalent pay is ever reduced. The five members who lost everything lost sums of 1.60 to 5.52, all of it from layers 2 and 3.</t>
  </si>
  <si>
    <t>The development premium: same volume, different structure</t>
  </si>
  <si>
    <t>Developed a Builder</t>
  </si>
  <si>
    <t>Did not</t>
  </si>
  <si>
    <t>Multiple</t>
  </si>
  <si>
    <t>n, with</t>
  </si>
  <si>
    <t>n, without</t>
  </si>
  <si>
    <t>SV band 100 to 149</t>
  </si>
  <si>
    <t>SV band 150 to 299</t>
  </si>
  <si>
    <t>SV band 300 and above</t>
  </si>
  <si>
    <t>The premium is NOT monotone in the band: it runs 7.9x, 92x, 81x, so the TOP band is 81x and the sentence 'up to 92 times at the top' is false. Quote the three band multiples, never a range.</t>
  </si>
  <si>
    <t>Participation, quoted in the same breath</t>
  </si>
  <si>
    <t>Members who personally sponsored at least one Builder</t>
  </si>
  <si>
    <t>Of those, also qualified that month (the earnings population)</t>
  </si>
  <si>
    <t>Members who earn any structure money at all</t>
  </si>
  <si>
    <t>Share of the structure budget taken by the top five</t>
  </si>
  <si>
    <t>Structure-linked share of the total payout</t>
  </si>
  <si>
    <t>Members paid, this plan</t>
  </si>
  <si>
    <t>Members paid, the live baseline plan</t>
  </si>
  <si>
    <t>Members paid, the stairstep comparison plan</t>
  </si>
  <si>
    <t>The honest sentence is 'same paid population, radically deeper development premium'. The reach claim is banned.</t>
  </si>
  <si>
    <t>Standing caveat, inherited by every readout: the lab replays RECORDED volumes under different rules. It proves how this plan redistributes pay toward structure. It cannot prove members would have BEHAVED differently. Every 'incentivizes' claim here is about payout geometry, not a measured behavioural response.</t>
  </si>
  <si>
    <t>Anti-gaming arithmetic</t>
  </si>
  <si>
    <t>Every known attack, priced. Engine-measured at the rates of record.</t>
  </si>
  <si>
    <t>Attack</t>
  </si>
  <si>
    <t>Monthly cost</t>
  </si>
  <si>
    <t>Monthly yield</t>
  </si>
  <si>
    <t>Returned per dollar</t>
  </si>
  <si>
    <t>Verdict</t>
  </si>
  <si>
    <t>Fund a puppet downline into Builder rank</t>
  </si>
  <si>
    <t>92.9 percent monthly loss, forever: decay makes the puppet a subscription, not a purchase</t>
  </si>
  <si>
    <t>Fund an artificial second leg to unlock the bonus</t>
  </si>
  <si>
    <t>98 percent monthly loss, forever, re-priced every month</t>
  </si>
  <si>
    <t>Split downline volume across more legs</t>
  </si>
  <si>
    <t>Loses. See the dilution test on Layer 3 second leg: two balanced legs is the optimum.</t>
  </si>
  <si>
    <t>Stack everyone into one leg</t>
  </si>
  <si>
    <t>Pays nothing extra by construction: with one leg there is no second leg.</t>
  </si>
  <si>
    <t>Buy rank with one large purchase</t>
  </si>
  <si>
    <t>Blocked: a one-time purchase is spread over ten months, so $2,000 arrives as 200 PV a month, not 2,000 once.</t>
  </si>
  <si>
    <t>Create shell legs to lift the multiplier</t>
  </si>
  <si>
    <t>Blocked: the multiplier counts ACTIVE legs, which need real qualified frontline members.</t>
  </si>
  <si>
    <t>Route claims toward richer pools</t>
  </si>
  <si>
    <t>Impossible: claims attach to sources by tree position, not by earner choice.</t>
  </si>
  <si>
    <t>Sandbag the strong leg, bank the volume</t>
  </si>
  <si>
    <t>Nothing to bank: no carryover, no placement tree. Volume books to the account that bought it, monthly.</t>
  </si>
  <si>
    <t>Bound</t>
  </si>
  <si>
    <t>Scope, stated exactly</t>
  </si>
  <si>
    <t>Most commission a self-funded dollar can generate</t>
  </si>
  <si>
    <t>Bounds commission generated BY the self-funded volume itself. It does NOT bound volume bought to UNLOCK pay on other people's volume, which is what the 100.00 qualification gate does.</t>
  </si>
  <si>
    <t>The one finding that survived, kept and named</t>
  </si>
  <si>
    <t>The lapse-benefit inversion</t>
  </si>
  <si>
    <t>What happens</t>
  </si>
  <si>
    <t>Above a pool-binding stack, a downline Builder's lapse RAISES senior checks, because the lapse frees capacity in bound pools and the relief flows to everyone else claiming those sources.</t>
  </si>
  <si>
    <t>Measured</t>
  </si>
  <si>
    <t>In the hostile fixture, one mid-stack Builder lapses, the field loses 100.00 SV of real revenue, and SIX checks rise. The top earner gains 7.44 on a 212.91 check.</t>
  </si>
  <si>
    <t>Who still loses</t>
  </si>
  <si>
    <t>The two nearest Builder generations, hard, and the lapsed member entirely. The people positioned to intervene still have the right incentive.</t>
  </si>
  <si>
    <t>Can it be farmed?</t>
  </si>
  <si>
    <t>No. A member cannot make a downline lapse, only decline to help one recover. No active construction extracts it.</t>
  </si>
  <si>
    <t>Is it new money?</t>
  </si>
  <si>
    <t>No. It is exactly the freed share of already-bound pools, and company cost goes DOWN on every lapse.</t>
  </si>
  <si>
    <t>How it is handled</t>
  </si>
  <si>
    <t>Named in the plan, bounded by Law B, and watched every run as a standing metric. Never rediscovered.</t>
  </si>
  <si>
    <t>Still on default, waiting on a ruling</t>
  </si>
  <si>
    <t>Each one is a parameter, not a redesign.</t>
  </si>
  <si>
    <t>#</t>
  </si>
  <si>
    <t>Question</t>
  </si>
  <si>
    <t>Current default</t>
  </si>
  <si>
    <t>The alternative</t>
  </si>
  <si>
    <t>Pool rate: 25 percent of CV, or a literal 20 percent of CV?</t>
  </si>
  <si>
    <t>0.25 of CV, which is 20 percent of revenue</t>
  </si>
  <si>
    <t>A 20-percent-of-CV pool would force the SPINE itself to prorate, since its five levels claim up to 25 percent.</t>
  </si>
  <si>
    <t>Do generations 1 and 2 share one proration class?</t>
  </si>
  <si>
    <t>Yes, one class, pro rata</t>
  </si>
  <si>
    <t>Make generation 1 senior to generation 2.</t>
  </si>
  <si>
    <t>Must a layer 2 earner hold Builder rank themselves?</t>
  </si>
  <si>
    <t>No, qualified only</t>
  </si>
  <si>
    <t>Require Builder or above to earn generation 2, a 'match your depth' flavour.</t>
  </si>
  <si>
    <t>Are legs ranked over all legs, or active legs only?</t>
  </si>
  <si>
    <t>All legs, by CV</t>
  </si>
  <si>
    <t>Rank over active legs only.</t>
  </si>
  <si>
    <t>The multiplier values 1.00 / 1.15 / 1.25</t>
  </si>
  <si>
    <t>As drafted</t>
  </si>
  <si>
    <t>Any change must keep multiplier(k) divided by k strictly decreasing, or the dilution argument breaks.</t>
  </si>
  <si>
    <t>The calibration budget: 2.0 to 4.0 points of CV above baseline</t>
  </si>
  <si>
    <t>As drafted. Realized 4.3314, which is 0.33 above the ceiling, accepted and displayed</t>
  </si>
  <si>
    <t>Name a different budget, or shave one rate a half-step.</t>
  </si>
  <si>
    <t>A member-facing name for the plan</t>
  </si>
  <si>
    <t>Lab code 'orvanna_builder' only</t>
  </si>
  <si>
    <t>Needs a field name and a booklet if it ever leaves the lab.</t>
  </si>
  <si>
    <t>A one-month Builder grace after a lapse</t>
  </si>
  <si>
    <t>No grace. Monthly-pure, like everything else</t>
  </si>
  <si>
    <t>Grace would blunt the near-upline's retention incentive and would do NOTHING about the lapse-benefit inversion, which lives in the waterfall, not in rank decay.</t>
  </si>
  <si>
    <t>!</t>
  </si>
  <si>
    <t>The 20 percent ceiling versus the approved Instant Payout terms. A known contradiction, on the record rather than left as a trap.</t>
  </si>
  <si>
    <t>Not built. It pays nothing today.</t>
  </si>
  <si>
    <t>Instant Payout was approved at 20 percent of the order price and does not roll up to the upline. On a self-funded first order of 150.00 that returns 42.00, which is 28 cents on the dollar against a 20 percent ceiling: eight points over. Reconciling the two is the gate on ever building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</si>
</sst>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00\);\-"/>
    <numFmt numFmtId="166" formatCode="0.0000%"/>
    <numFmt numFmtId="167" formatCode="0.0&quot;x&quot;"/>
  </numFmts>
  <fonts count="10" x14ac:knownFonts="1">
    <font>
      <sz val="11"/>
      <color theme="1"/>
      <name val="Calibri"/>
      <family val="2"/>
      <scheme val="minor"/>
    </font>
    <font>
      <b/>
      <sz val="15"/>
      <color rgb="FF0F6E63"/>
      <name val="Arial"/>
    </font>
    <font>
      <i/>
      <sz val="9"/>
      <color rgb="FF5A6B68"/>
      <name val="Arial"/>
    </font>
    <font>
      <b/>
      <sz val="10"/>
      <color rgb="FFFFFFFF"/>
      <name val="Arial"/>
    </font>
    <font>
      <sz val="10"/>
      <color rgb="FF1A1A1A"/>
      <name val="Arial"/>
    </font>
    <font>
      <sz val="10"/>
      <color rgb="FF0000FF"/>
      <name val="Arial"/>
    </font>
    <font>
      <sz val="10"/>
      <color rgb="FF008000"/>
      <name val="Arial"/>
    </font>
    <font>
      <b/>
      <sz val="10"/>
      <color rgb="FF1A1A1A"/>
      <name val="Arial"/>
    </font>
    <font>
      <b/>
      <sz val="10"/>
      <color rgb="FF008000"/>
      <name val="Arial"/>
    </font>
    <font>
      <b/>
      <sz val="12"/>
      <color rgb="FF0F6E63"/>
      <name val="Arial"/>
    </font>
  </fonts>
  <fills count="6">
    <fill>
      <patternFill patternType="none"/>
    </fill>
    <fill>
      <patternFill patternType="gray125"/>
    </fill>
    <fill>
      <patternFill patternType="solid">
        <fgColor rgb="FF0F6E63"/>
      </patternFill>
    </fill>
    <fill>
      <patternFill patternType="solid">
        <fgColor rgb="FFFDE7E7"/>
      </patternFill>
    </fill>
    <fill>
      <patternFill patternType="solid">
        <fgColor rgb="FFE8F1EF"/>
      </patternFill>
    </fill>
    <fill>
      <patternFill patternType="solid">
        <fgColor rgb="FFFFF7DC"/>
      </patternFill>
    </fill>
  </fills>
  <borders count="2">
    <border>
      <left/>
      <right/>
      <top/>
      <bottom/>
      <diagonal/>
    </border>
    <border>
      <left style="thin">
        <color rgb="FFB7C9C5"/>
      </left>
      <right style="thin">
        <color rgb="FFB7C9C5"/>
      </right>
      <top style="thin">
        <color rgb="FFB7C9C5"/>
      </top>
      <bottom style="thin">
        <color rgb="FFB7C9C5"/>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xf>
    <xf numFmtId="0" fontId="4" fillId="0" borderId="1" xfId="0" applyFont="1" applyBorder="1" applyAlignment="1">
      <alignment vertical="top"/>
    </xf>
    <xf numFmtId="0" fontId="6" fillId="0" borderId="1" xfId="0" applyFont="1" applyBorder="1" applyAlignment="1">
      <alignment vertical="top"/>
    </xf>
    <xf numFmtId="0" fontId="4" fillId="3" borderId="1" xfId="0" applyFont="1" applyFill="1" applyBorder="1" applyAlignment="1">
      <alignment vertical="top"/>
    </xf>
    <xf numFmtId="164" fontId="5" fillId="0" borderId="1" xfId="0" applyNumberFormat="1" applyFont="1" applyBorder="1" applyAlignment="1">
      <alignment vertical="top" wrapText="1"/>
    </xf>
    <xf numFmtId="2" fontId="5" fillId="0" borderId="1" xfId="0" applyNumberFormat="1" applyFont="1" applyBorder="1" applyAlignment="1">
      <alignment vertical="top" wrapText="1"/>
    </xf>
    <xf numFmtId="165" fontId="5" fillId="0" borderId="1" xfId="0" applyNumberFormat="1" applyFont="1" applyBorder="1" applyAlignment="1">
      <alignment vertical="top" wrapText="1"/>
    </xf>
    <xf numFmtId="0" fontId="2" fillId="0" borderId="0" xfId="0" applyFont="1" applyAlignment="1">
      <alignment vertical="top" wrapText="1"/>
    </xf>
    <xf numFmtId="3" fontId="4" fillId="0" borderId="1" xfId="0" applyNumberFormat="1" applyFont="1" applyBorder="1" applyAlignment="1">
      <alignment vertical="top" wrapText="1"/>
    </xf>
    <xf numFmtId="1"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 fontId="4" fillId="0" borderId="1" xfId="0" applyNumberFormat="1" applyFont="1" applyBorder="1" applyAlignment="1">
      <alignment vertical="top"/>
    </xf>
    <xf numFmtId="10" fontId="6" fillId="0" borderId="1" xfId="0" applyNumberFormat="1" applyFont="1" applyBorder="1" applyAlignment="1">
      <alignment vertical="top"/>
    </xf>
    <xf numFmtId="165" fontId="4" fillId="0" borderId="1" xfId="0" applyNumberFormat="1" applyFont="1" applyBorder="1" applyAlignment="1">
      <alignment vertical="top"/>
    </xf>
    <xf numFmtId="49" fontId="7" fillId="4" borderId="1" xfId="0" applyNumberFormat="1" applyFont="1" applyFill="1" applyBorder="1" applyAlignment="1">
      <alignment vertical="top"/>
    </xf>
    <xf numFmtId="10" fontId="7" fillId="4" borderId="1" xfId="0" applyNumberFormat="1" applyFont="1" applyFill="1" applyBorder="1" applyAlignment="1">
      <alignment vertical="top"/>
    </xf>
    <xf numFmtId="0" fontId="7" fillId="4" borderId="1" xfId="0" applyFont="1" applyFill="1" applyBorder="1" applyAlignment="1">
      <alignment vertical="top"/>
    </xf>
    <xf numFmtId="165" fontId="7" fillId="4" borderId="1" xfId="0" applyNumberFormat="1" applyFont="1" applyFill="1" applyBorder="1" applyAlignment="1">
      <alignment vertical="top"/>
    </xf>
    <xf numFmtId="10" fontId="4" fillId="0" borderId="1" xfId="0" applyNumberFormat="1" applyFont="1" applyBorder="1" applyAlignment="1">
      <alignment vertical="top"/>
    </xf>
    <xf numFmtId="0" fontId="7" fillId="0" borderId="1" xfId="0" applyFont="1" applyBorder="1" applyAlignment="1">
      <alignment vertical="top"/>
    </xf>
    <xf numFmtId="10" fontId="7" fillId="0" borderId="1" xfId="0" applyNumberFormat="1" applyFont="1" applyBorder="1" applyAlignment="1">
      <alignment vertical="top"/>
    </xf>
    <xf numFmtId="10" fontId="6" fillId="0" borderId="1" xfId="0" applyNumberFormat="1" applyFont="1" applyBorder="1" applyAlignment="1">
      <alignment vertical="top" wrapText="1"/>
    </xf>
    <xf numFmtId="2" fontId="6" fillId="0" borderId="1" xfId="0" applyNumberFormat="1" applyFont="1" applyBorder="1" applyAlignment="1">
      <alignment vertical="top"/>
    </xf>
    <xf numFmtId="164" fontId="4" fillId="0" borderId="1" xfId="0" applyNumberFormat="1" applyFont="1" applyBorder="1" applyAlignment="1">
      <alignment vertical="top"/>
    </xf>
    <xf numFmtId="10" fontId="8" fillId="0" borderId="1" xfId="0" applyNumberFormat="1" applyFont="1" applyBorder="1" applyAlignment="1">
      <alignment vertical="top"/>
    </xf>
    <xf numFmtId="0" fontId="4" fillId="5" borderId="1" xfId="0" applyFont="1" applyFill="1" applyBorder="1" applyAlignment="1">
      <alignment vertical="top" wrapText="1"/>
    </xf>
    <xf numFmtId="0" fontId="5" fillId="0" borderId="1" xfId="0" applyFont="1" applyBorder="1" applyAlignment="1">
      <alignment vertical="top" wrapText="1"/>
    </xf>
    <xf numFmtId="0" fontId="9" fillId="0" borderId="0" xfId="0" applyFont="1"/>
    <xf numFmtId="10" fontId="5" fillId="0" borderId="1" xfId="0" applyNumberFormat="1" applyFont="1" applyBorder="1" applyAlignment="1">
      <alignment vertical="top"/>
    </xf>
    <xf numFmtId="1" fontId="5" fillId="0" borderId="1" xfId="0" applyNumberFormat="1" applyFont="1" applyBorder="1" applyAlignment="1">
      <alignment vertical="top"/>
    </xf>
    <xf numFmtId="165" fontId="4" fillId="3" borderId="1" xfId="0" applyNumberFormat="1" applyFont="1" applyFill="1" applyBorder="1" applyAlignment="1">
      <alignment vertical="top"/>
    </xf>
    <xf numFmtId="10" fontId="5" fillId="3" borderId="1" xfId="0" applyNumberFormat="1" applyFont="1" applyFill="1" applyBorder="1" applyAlignment="1">
      <alignment vertical="top"/>
    </xf>
    <xf numFmtId="1" fontId="5" fillId="3" borderId="1" xfId="0" applyNumberFormat="1" applyFont="1" applyFill="1" applyBorder="1" applyAlignment="1">
      <alignment vertical="top"/>
    </xf>
    <xf numFmtId="164" fontId="4" fillId="3" borderId="1" xfId="0" applyNumberFormat="1" applyFont="1" applyFill="1" applyBorder="1" applyAlignment="1">
      <alignment vertical="top"/>
    </xf>
    <xf numFmtId="166" fontId="6" fillId="0" borderId="1" xfId="0" applyNumberFormat="1" applyFont="1" applyBorder="1" applyAlignment="1">
      <alignment vertical="top" wrapText="1"/>
    </xf>
    <xf numFmtId="166" fontId="4" fillId="0" borderId="1" xfId="0" applyNumberFormat="1" applyFont="1" applyBorder="1" applyAlignment="1">
      <alignment vertical="top" wrapText="1"/>
    </xf>
    <xf numFmtId="0" fontId="4" fillId="3" borderId="1" xfId="0" applyFont="1" applyFill="1" applyBorder="1" applyAlignment="1">
      <alignment vertical="top" wrapText="1"/>
    </xf>
    <xf numFmtId="165" fontId="5" fillId="3" borderId="1" xfId="0" applyNumberFormat="1" applyFont="1" applyFill="1" applyBorder="1" applyAlignment="1">
      <alignment vertical="top" wrapText="1"/>
    </xf>
    <xf numFmtId="166" fontId="6" fillId="3" borderId="1" xfId="0" applyNumberFormat="1" applyFont="1" applyFill="1" applyBorder="1" applyAlignment="1">
      <alignment vertical="top" wrapText="1"/>
    </xf>
    <xf numFmtId="165" fontId="4" fillId="3" borderId="1" xfId="0" applyNumberFormat="1" applyFont="1" applyFill="1" applyBorder="1" applyAlignment="1">
      <alignment vertical="top" wrapText="1"/>
    </xf>
    <xf numFmtId="165" fontId="7" fillId="0" borderId="1" xfId="0" applyNumberFormat="1" applyFont="1" applyBorder="1" applyAlignment="1">
      <alignment vertical="top"/>
    </xf>
    <xf numFmtId="166" fontId="4" fillId="0" borderId="1" xfId="0" applyNumberFormat="1" applyFont="1" applyBorder="1" applyAlignment="1">
      <alignment vertical="top"/>
    </xf>
    <xf numFmtId="165" fontId="5" fillId="0" borderId="1" xfId="0" applyNumberFormat="1" applyFont="1" applyBorder="1" applyAlignment="1">
      <alignment vertical="top"/>
    </xf>
    <xf numFmtId="4" fontId="4" fillId="0" borderId="1" xfId="0" applyNumberFormat="1" applyFont="1" applyBorder="1" applyAlignment="1">
      <alignment vertical="top"/>
    </xf>
    <xf numFmtId="166" fontId="5" fillId="0" borderId="1" xfId="0" applyNumberFormat="1" applyFont="1" applyBorder="1" applyAlignment="1">
      <alignment vertical="top"/>
    </xf>
    <xf numFmtId="166" fontId="7" fillId="4" borderId="1" xfId="0" applyNumberFormat="1" applyFont="1" applyFill="1" applyBorder="1" applyAlignment="1">
      <alignment vertical="top"/>
    </xf>
    <xf numFmtId="3" fontId="5" fillId="0" borderId="1" xfId="0" applyNumberFormat="1" applyFont="1" applyBorder="1" applyAlignment="1">
      <alignment vertical="top"/>
    </xf>
    <xf numFmtId="167" fontId="4" fillId="0" borderId="1" xfId="0" applyNumberFormat="1" applyFont="1" applyBorder="1" applyAlignment="1">
      <alignment vertical="top"/>
    </xf>
    <xf numFmtId="10" fontId="5" fillId="0" borderId="1"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4"/>
  <sheetViews>
    <sheetView showGridLines="0" tabSelected="1" workbookViewId="0">
      <pane ySplit="1" topLeftCell="A2" activePane="bottomLeft" state="frozen"/>
      <selection pane="bottomLeft"/>
    </sheetView>
  </sheetViews>
  <sheetFormatPr defaultRowHeight="15" x14ac:dyDescent="0.25"/>
  <cols>
    <col min="1" max="1" width="26" customWidth="1"/>
    <col min="2" max="2" width="96" customWidth="1"/>
    <col min="3" max="3" width="72" customWidth="1"/>
  </cols>
  <sheetData>
    <row r="1" spans="1:2" ht="19.5" x14ac:dyDescent="0.3">
      <c r="A1" s="1" t="s">
        <v>0</v>
      </c>
    </row>
    <row r="2" spans="1:2" x14ac:dyDescent="0.25">
      <c r="A2" s="2" t="s">
        <v>1</v>
      </c>
    </row>
    <row r="4" spans="1:2" ht="27.95" customHeight="1" x14ac:dyDescent="0.25">
      <c r="A4" s="3" t="s">
        <v>2</v>
      </c>
      <c r="B4" s="3" t="s">
        <v>3</v>
      </c>
    </row>
    <row r="5" spans="1:2" x14ac:dyDescent="0.25">
      <c r="A5" s="4" t="s">
        <v>4</v>
      </c>
      <c r="B5" s="4" t="s">
        <v>5</v>
      </c>
    </row>
    <row r="6" spans="1:2" x14ac:dyDescent="0.25">
      <c r="A6" s="4" t="s">
        <v>6</v>
      </c>
      <c r="B6" s="4" t="s">
        <v>7</v>
      </c>
    </row>
    <row r="7" spans="1:2" x14ac:dyDescent="0.25">
      <c r="A7" s="4" t="s">
        <v>8</v>
      </c>
      <c r="B7" s="4" t="s">
        <v>9</v>
      </c>
    </row>
    <row r="8" spans="1:2" x14ac:dyDescent="0.25">
      <c r="A8" s="4" t="s">
        <v>10</v>
      </c>
      <c r="B8" s="4" t="s">
        <v>11</v>
      </c>
    </row>
    <row r="9" spans="1:2" x14ac:dyDescent="0.25">
      <c r="A9" s="4" t="s">
        <v>12</v>
      </c>
      <c r="B9" s="4" t="s">
        <v>13</v>
      </c>
    </row>
    <row r="10" spans="1:2" x14ac:dyDescent="0.25">
      <c r="A10" s="4" t="s">
        <v>14</v>
      </c>
      <c r="B10" s="4" t="s">
        <v>15</v>
      </c>
    </row>
    <row r="11" spans="1:2" x14ac:dyDescent="0.25">
      <c r="A11" s="4" t="s">
        <v>16</v>
      </c>
      <c r="B11" s="4" t="s">
        <v>17</v>
      </c>
    </row>
    <row r="12" spans="1:2" x14ac:dyDescent="0.25">
      <c r="A12" s="4" t="s">
        <v>18</v>
      </c>
      <c r="B12" s="4" t="s">
        <v>19</v>
      </c>
    </row>
    <row r="13" spans="1:2" x14ac:dyDescent="0.25">
      <c r="A13" s="4" t="s">
        <v>20</v>
      </c>
      <c r="B13" s="4" t="s">
        <v>21</v>
      </c>
    </row>
    <row r="14" spans="1:2" x14ac:dyDescent="0.25">
      <c r="A14" s="4" t="s">
        <v>22</v>
      </c>
      <c r="B14" s="4" t="s">
        <v>23</v>
      </c>
    </row>
    <row r="15" spans="1:2" x14ac:dyDescent="0.25">
      <c r="A15" s="4" t="s">
        <v>24</v>
      </c>
      <c r="B15" s="4" t="s">
        <v>25</v>
      </c>
    </row>
    <row r="17" spans="1:3" ht="27.95" customHeight="1" x14ac:dyDescent="0.25">
      <c r="A17" s="3" t="s">
        <v>26</v>
      </c>
      <c r="B17" s="3" t="s">
        <v>27</v>
      </c>
      <c r="C17" s="3" t="s">
        <v>28</v>
      </c>
    </row>
    <row r="18" spans="1:3" x14ac:dyDescent="0.25">
      <c r="A18" s="4" t="s">
        <v>29</v>
      </c>
      <c r="B18" s="4" t="s">
        <v>30</v>
      </c>
      <c r="C18" s="4" t="s">
        <v>31</v>
      </c>
    </row>
    <row r="19" spans="1:3" x14ac:dyDescent="0.25">
      <c r="A19" s="4" t="s">
        <v>32</v>
      </c>
      <c r="B19" s="4" t="s">
        <v>33</v>
      </c>
      <c r="C19" s="4" t="s">
        <v>34</v>
      </c>
    </row>
    <row r="20" spans="1:3" x14ac:dyDescent="0.25">
      <c r="A20" s="4" t="s">
        <v>35</v>
      </c>
      <c r="B20" s="4" t="s">
        <v>36</v>
      </c>
      <c r="C20" s="4" t="s">
        <v>37</v>
      </c>
    </row>
    <row r="21" spans="1:3" x14ac:dyDescent="0.25">
      <c r="A21" s="4" t="s">
        <v>38</v>
      </c>
      <c r="B21" s="4" t="s">
        <v>39</v>
      </c>
      <c r="C21" s="4" t="s">
        <v>40</v>
      </c>
    </row>
    <row r="22" spans="1:3" x14ac:dyDescent="0.25">
      <c r="A22" s="4" t="s">
        <v>41</v>
      </c>
      <c r="B22" s="4" t="s">
        <v>42</v>
      </c>
      <c r="C22" s="4" t="s">
        <v>43</v>
      </c>
    </row>
    <row r="23" spans="1:3" x14ac:dyDescent="0.25">
      <c r="A23" s="4" t="s">
        <v>44</v>
      </c>
      <c r="B23" s="4" t="s">
        <v>44</v>
      </c>
      <c r="C23" s="4" t="s">
        <v>45</v>
      </c>
    </row>
    <row r="24" spans="1:3" x14ac:dyDescent="0.25">
      <c r="A24" s="4" t="s">
        <v>46</v>
      </c>
      <c r="B24" s="4" t="s">
        <v>46</v>
      </c>
      <c r="C24" s="4" t="s">
        <v>47</v>
      </c>
    </row>
    <row r="25" spans="1:3" x14ac:dyDescent="0.25">
      <c r="A25" s="4" t="s">
        <v>48</v>
      </c>
      <c r="B25" s="4" t="s">
        <v>49</v>
      </c>
      <c r="C25" s="4" t="s">
        <v>50</v>
      </c>
    </row>
    <row r="26" spans="1:3" x14ac:dyDescent="0.25">
      <c r="A26" s="4" t="s">
        <v>51</v>
      </c>
      <c r="B26" s="4" t="s">
        <v>51</v>
      </c>
      <c r="C26" s="4" t="s">
        <v>52</v>
      </c>
    </row>
    <row r="27" spans="1:3" x14ac:dyDescent="0.25">
      <c r="A27" s="4" t="s">
        <v>53</v>
      </c>
      <c r="B27" s="4" t="s">
        <v>53</v>
      </c>
      <c r="C27" s="4" t="s">
        <v>54</v>
      </c>
    </row>
    <row r="28" spans="1:3" x14ac:dyDescent="0.25">
      <c r="A28" s="4" t="s">
        <v>55</v>
      </c>
      <c r="B28" s="4" t="s">
        <v>55</v>
      </c>
      <c r="C28" s="4" t="s">
        <v>56</v>
      </c>
    </row>
    <row r="30" spans="1:3" ht="27.95" customHeight="1" x14ac:dyDescent="0.25">
      <c r="A30" s="3" t="s">
        <v>57</v>
      </c>
      <c r="B30" s="3" t="s">
        <v>58</v>
      </c>
    </row>
    <row r="31" spans="1:3" x14ac:dyDescent="0.25">
      <c r="A31" s="5" t="s">
        <v>59</v>
      </c>
      <c r="B31" s="6" t="s">
        <v>60</v>
      </c>
    </row>
    <row r="32" spans="1:3" x14ac:dyDescent="0.25">
      <c r="A32" s="7" t="s">
        <v>61</v>
      </c>
      <c r="B32" s="6" t="s">
        <v>62</v>
      </c>
    </row>
    <row r="33" spans="1:2" x14ac:dyDescent="0.25">
      <c r="A33" s="6" t="s">
        <v>63</v>
      </c>
      <c r="B33" s="6" t="s">
        <v>64</v>
      </c>
    </row>
    <row r="34" spans="1:2" x14ac:dyDescent="0.25">
      <c r="A34" s="8" t="s">
        <v>65</v>
      </c>
      <c r="B34" s="8" t="s">
        <v>66</v>
      </c>
    </row>
  </sheetData>
  <pageMargins left="0.3" right="0.3" top="0.4" bottom="0.4" header="0.5" footer="0.5"/>
  <pageSetup scale="66" fitToHeight="0" orientation="landscape" horizontalDpi="200" verticalDpi="200" r:id="rId1"/>
  <headerFooter>
    <oddFooter>&amp;C&amp;A  -  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6"/>
  <sheetViews>
    <sheetView showGridLines="0" workbookViewId="0">
      <pane ySplit="1" topLeftCell="A2" activePane="bottomLeft" state="frozen"/>
      <selection pane="bottomLeft"/>
    </sheetView>
  </sheetViews>
  <sheetFormatPr defaultRowHeight="15" x14ac:dyDescent="0.25"/>
  <cols>
    <col min="1" max="1" width="34" customWidth="1"/>
    <col min="2" max="2" width="16" customWidth="1"/>
    <col min="3" max="4" width="58" customWidth="1"/>
    <col min="5" max="5" width="20" customWidth="1"/>
  </cols>
  <sheetData>
    <row r="1" spans="1:5" ht="19.5" x14ac:dyDescent="0.3">
      <c r="A1" s="1" t="s">
        <v>4</v>
      </c>
    </row>
    <row r="2" spans="1:5" x14ac:dyDescent="0.25">
      <c r="A2" s="2" t="s">
        <v>67</v>
      </c>
    </row>
    <row r="4" spans="1:5" ht="27.95" customHeight="1" x14ac:dyDescent="0.25">
      <c r="A4" s="3" t="s">
        <v>68</v>
      </c>
      <c r="B4" s="3" t="s">
        <v>69</v>
      </c>
      <c r="C4" s="3" t="s">
        <v>70</v>
      </c>
      <c r="D4" s="3" t="s">
        <v>71</v>
      </c>
      <c r="E4" s="3" t="s">
        <v>72</v>
      </c>
    </row>
    <row r="5" spans="1:5" x14ac:dyDescent="0.25">
      <c r="A5" s="4" t="s">
        <v>73</v>
      </c>
      <c r="B5" s="9">
        <v>0.1</v>
      </c>
      <c r="C5" s="9">
        <v>0.1</v>
      </c>
      <c r="D5" s="4" t="s">
        <v>74</v>
      </c>
      <c r="E5" s="4" t="s">
        <v>75</v>
      </c>
    </row>
    <row r="6" spans="1:5" x14ac:dyDescent="0.25">
      <c r="A6" s="4" t="s">
        <v>76</v>
      </c>
      <c r="B6" s="9">
        <v>0.05</v>
      </c>
      <c r="C6" s="9">
        <v>0.05</v>
      </c>
      <c r="D6" s="4" t="s">
        <v>77</v>
      </c>
      <c r="E6" s="4" t="s">
        <v>75</v>
      </c>
    </row>
    <row r="7" spans="1:5" x14ac:dyDescent="0.25">
      <c r="A7" s="4" t="s">
        <v>78</v>
      </c>
      <c r="B7" s="9">
        <v>0.05</v>
      </c>
      <c r="C7" s="9">
        <v>0.05</v>
      </c>
      <c r="D7" s="4" t="s">
        <v>79</v>
      </c>
      <c r="E7" s="4" t="s">
        <v>75</v>
      </c>
    </row>
    <row r="8" spans="1:5" x14ac:dyDescent="0.25">
      <c r="A8" s="4" t="s">
        <v>80</v>
      </c>
      <c r="B8" s="9">
        <v>0.03</v>
      </c>
      <c r="C8" s="9">
        <v>0.03</v>
      </c>
      <c r="D8" s="4" t="s">
        <v>81</v>
      </c>
      <c r="E8" s="4" t="s">
        <v>75</v>
      </c>
    </row>
    <row r="9" spans="1:5" x14ac:dyDescent="0.25">
      <c r="A9" s="4" t="s">
        <v>82</v>
      </c>
      <c r="B9" s="9">
        <v>0.02</v>
      </c>
      <c r="C9" s="9">
        <v>0.02</v>
      </c>
      <c r="D9" s="4" t="s">
        <v>83</v>
      </c>
      <c r="E9" s="4" t="s">
        <v>75</v>
      </c>
    </row>
    <row r="10" spans="1:5" x14ac:dyDescent="0.25">
      <c r="A10" s="4" t="s">
        <v>84</v>
      </c>
      <c r="B10" s="9">
        <v>1.4999999999999999E-2</v>
      </c>
      <c r="C10" s="9">
        <v>0.04</v>
      </c>
      <c r="D10" s="4" t="s">
        <v>85</v>
      </c>
      <c r="E10" s="4" t="s">
        <v>86</v>
      </c>
    </row>
    <row r="11" spans="1:5" x14ac:dyDescent="0.25">
      <c r="A11" s="4" t="s">
        <v>87</v>
      </c>
      <c r="B11" s="9">
        <v>0.01</v>
      </c>
      <c r="C11" s="9">
        <v>0.05</v>
      </c>
      <c r="D11" s="4" t="s">
        <v>88</v>
      </c>
      <c r="E11" s="4" t="s">
        <v>86</v>
      </c>
    </row>
    <row r="12" spans="1:5" x14ac:dyDescent="0.25">
      <c r="A12" s="4" t="s">
        <v>89</v>
      </c>
      <c r="B12" s="9">
        <v>0.02</v>
      </c>
      <c r="C12" s="9">
        <v>0.05</v>
      </c>
      <c r="D12" s="4" t="s">
        <v>90</v>
      </c>
      <c r="E12" s="4" t="s">
        <v>86</v>
      </c>
    </row>
    <row r="13" spans="1:5" x14ac:dyDescent="0.25">
      <c r="A13" s="4" t="s">
        <v>91</v>
      </c>
      <c r="B13" s="10">
        <v>1</v>
      </c>
      <c r="C13" s="10">
        <v>1</v>
      </c>
      <c r="D13" s="4" t="s">
        <v>92</v>
      </c>
      <c r="E13" s="4" t="s">
        <v>86</v>
      </c>
    </row>
    <row r="14" spans="1:5" x14ac:dyDescent="0.25">
      <c r="A14" s="4" t="s">
        <v>93</v>
      </c>
      <c r="B14" s="10">
        <v>1.1499999999999999</v>
      </c>
      <c r="C14" s="10">
        <v>1.1499999999999999</v>
      </c>
      <c r="D14" s="4" t="s">
        <v>92</v>
      </c>
      <c r="E14" s="4" t="s">
        <v>86</v>
      </c>
    </row>
    <row r="15" spans="1:5" x14ac:dyDescent="0.25">
      <c r="A15" s="4" t="s">
        <v>94</v>
      </c>
      <c r="B15" s="10">
        <v>1.25</v>
      </c>
      <c r="C15" s="10">
        <v>1.25</v>
      </c>
      <c r="D15" s="4" t="s">
        <v>92</v>
      </c>
      <c r="E15" s="4" t="s">
        <v>86</v>
      </c>
    </row>
    <row r="16" spans="1:5" ht="25.5" x14ac:dyDescent="0.25">
      <c r="A16" s="4" t="s">
        <v>95</v>
      </c>
      <c r="B16" s="9">
        <v>0.25</v>
      </c>
      <c r="C16" s="9">
        <v>0.25</v>
      </c>
      <c r="D16" s="4" t="s">
        <v>96</v>
      </c>
      <c r="E16" s="4" t="s">
        <v>97</v>
      </c>
    </row>
    <row r="17" spans="1:5" x14ac:dyDescent="0.25">
      <c r="A17" s="4" t="s">
        <v>98</v>
      </c>
      <c r="B17" s="11">
        <v>100</v>
      </c>
      <c r="C17" s="11">
        <v>100</v>
      </c>
      <c r="D17" s="4" t="s">
        <v>99</v>
      </c>
      <c r="E17" s="4" t="s">
        <v>100</v>
      </c>
    </row>
    <row r="18" spans="1:5" x14ac:dyDescent="0.25">
      <c r="A18" s="4" t="s">
        <v>101</v>
      </c>
      <c r="B18" s="9">
        <v>0.8</v>
      </c>
      <c r="C18" s="9">
        <v>0.8</v>
      </c>
      <c r="D18" s="4" t="s">
        <v>102</v>
      </c>
      <c r="E18" s="4" t="s">
        <v>100</v>
      </c>
    </row>
    <row r="20" spans="1:5" ht="27.95" customHeight="1" x14ac:dyDescent="0.25">
      <c r="A20" s="3" t="s">
        <v>103</v>
      </c>
      <c r="B20" s="3" t="s">
        <v>104</v>
      </c>
      <c r="C20" s="3" t="s">
        <v>105</v>
      </c>
    </row>
    <row r="21" spans="1:5" x14ac:dyDescent="0.25">
      <c r="A21" s="6" t="s">
        <v>106</v>
      </c>
      <c r="B21" s="6" t="s">
        <v>107</v>
      </c>
      <c r="C21" s="6" t="s">
        <v>108</v>
      </c>
    </row>
    <row r="22" spans="1:5" x14ac:dyDescent="0.25">
      <c r="A22" s="6" t="s">
        <v>109</v>
      </c>
      <c r="B22" s="6" t="s">
        <v>110</v>
      </c>
      <c r="C22" s="6" t="s">
        <v>111</v>
      </c>
    </row>
    <row r="23" spans="1:5" x14ac:dyDescent="0.25">
      <c r="A23" s="6" t="s">
        <v>112</v>
      </c>
      <c r="B23" s="6" t="s">
        <v>113</v>
      </c>
      <c r="C23" s="6" t="s">
        <v>114</v>
      </c>
    </row>
    <row r="25" spans="1:5" ht="72" x14ac:dyDescent="0.25">
      <c r="A25" s="12" t="s">
        <v>115</v>
      </c>
    </row>
    <row r="26" spans="1:5" ht="60" x14ac:dyDescent="0.25">
      <c r="A26" s="12" t="s">
        <v>116</v>
      </c>
    </row>
  </sheetData>
  <pageMargins left="0.3" right="0.3" top="0.4" bottom="0.4" header="0.5" footer="0.5"/>
  <pageSetup scale="69" fitToHeight="0" orientation="landscape" r:id="rId1"/>
  <headerFooter>
    <oddFooter>&amp;C&amp;A  -  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6"/>
  <sheetViews>
    <sheetView showGridLines="0" workbookViewId="0">
      <pane ySplit="1" topLeftCell="A2" activePane="bottomLeft" state="frozen"/>
      <selection pane="bottomLeft"/>
    </sheetView>
  </sheetViews>
  <sheetFormatPr defaultRowHeight="15" x14ac:dyDescent="0.25"/>
  <cols>
    <col min="1" max="1" width="58" customWidth="1"/>
    <col min="2" max="2" width="62" customWidth="1"/>
    <col min="3" max="3" width="20" customWidth="1"/>
    <col min="4" max="4" width="46" customWidth="1"/>
    <col min="5" max="5" width="13" customWidth="1"/>
    <col min="6" max="6" width="30" customWidth="1"/>
  </cols>
  <sheetData>
    <row r="1" spans="1:6" ht="19.5" x14ac:dyDescent="0.3">
      <c r="A1" s="1" t="s">
        <v>6</v>
      </c>
    </row>
    <row r="2" spans="1:6" x14ac:dyDescent="0.25">
      <c r="A2" s="2" t="s">
        <v>117</v>
      </c>
    </row>
    <row r="4" spans="1:6" ht="27.95" customHeight="1" x14ac:dyDescent="0.25">
      <c r="A4" s="3" t="s">
        <v>118</v>
      </c>
      <c r="B4" s="3" t="s">
        <v>119</v>
      </c>
      <c r="C4" s="3" t="s">
        <v>120</v>
      </c>
      <c r="D4" s="3" t="s">
        <v>121</v>
      </c>
      <c r="E4" s="3" t="s">
        <v>122</v>
      </c>
      <c r="F4" s="3" t="s">
        <v>123</v>
      </c>
    </row>
    <row r="5" spans="1:6" x14ac:dyDescent="0.25">
      <c r="A5" s="4" t="s">
        <v>124</v>
      </c>
      <c r="B5" s="4" t="s">
        <v>125</v>
      </c>
      <c r="C5" s="13" t="s">
        <v>126</v>
      </c>
      <c r="D5" s="4" t="s">
        <v>126</v>
      </c>
      <c r="E5" s="14">
        <v>1</v>
      </c>
      <c r="F5" s="4" t="s">
        <v>127</v>
      </c>
    </row>
    <row r="6" spans="1:6" x14ac:dyDescent="0.25">
      <c r="A6" s="4" t="s">
        <v>128</v>
      </c>
      <c r="B6" s="4" t="s">
        <v>129</v>
      </c>
      <c r="C6" s="13" t="s">
        <v>126</v>
      </c>
      <c r="D6" s="4" t="s">
        <v>130</v>
      </c>
      <c r="E6" s="14">
        <v>2</v>
      </c>
      <c r="F6" s="4" t="s">
        <v>131</v>
      </c>
    </row>
    <row r="7" spans="1:6" x14ac:dyDescent="0.25">
      <c r="A7" s="4" t="s">
        <v>132</v>
      </c>
      <c r="B7" s="4" t="s">
        <v>129</v>
      </c>
      <c r="C7" s="13">
        <v>2500</v>
      </c>
      <c r="D7" s="4" t="s">
        <v>133</v>
      </c>
      <c r="E7" s="14">
        <v>3</v>
      </c>
      <c r="F7" s="4" t="s">
        <v>134</v>
      </c>
    </row>
    <row r="8" spans="1:6" x14ac:dyDescent="0.25">
      <c r="A8" s="4" t="s">
        <v>135</v>
      </c>
      <c r="B8" s="4" t="s">
        <v>129</v>
      </c>
      <c r="C8" s="13">
        <v>10000</v>
      </c>
      <c r="D8" s="4" t="s">
        <v>136</v>
      </c>
      <c r="E8" s="14">
        <v>4</v>
      </c>
      <c r="F8" s="4" t="s">
        <v>137</v>
      </c>
    </row>
    <row r="9" spans="1:6" x14ac:dyDescent="0.25">
      <c r="A9" s="4" t="s">
        <v>138</v>
      </c>
      <c r="B9" s="4" t="s">
        <v>129</v>
      </c>
      <c r="C9" s="13">
        <v>40000</v>
      </c>
      <c r="D9" s="4" t="s">
        <v>139</v>
      </c>
      <c r="E9" s="14">
        <v>5</v>
      </c>
      <c r="F9" s="4" t="s">
        <v>140</v>
      </c>
    </row>
    <row r="11" spans="1:6" ht="27.95" customHeight="1" x14ac:dyDescent="0.25">
      <c r="A11" s="3" t="s">
        <v>141</v>
      </c>
      <c r="B11" s="3" t="s">
        <v>142</v>
      </c>
    </row>
    <row r="12" spans="1:6" ht="25.5" x14ac:dyDescent="0.25">
      <c r="A12" s="4" t="s">
        <v>143</v>
      </c>
      <c r="B12" s="4" t="s">
        <v>144</v>
      </c>
    </row>
    <row r="13" spans="1:6" ht="25.5" x14ac:dyDescent="0.25">
      <c r="A13" s="4" t="s">
        <v>145</v>
      </c>
      <c r="B13" s="4" t="s">
        <v>146</v>
      </c>
    </row>
    <row r="14" spans="1:6" ht="25.5" x14ac:dyDescent="0.25">
      <c r="A14" s="4" t="s">
        <v>147</v>
      </c>
      <c r="B14" s="4" t="s">
        <v>148</v>
      </c>
    </row>
    <row r="15" spans="1:6" x14ac:dyDescent="0.25">
      <c r="A15" s="4" t="s">
        <v>149</v>
      </c>
      <c r="B15" s="4" t="s">
        <v>150</v>
      </c>
    </row>
    <row r="16" spans="1:6" x14ac:dyDescent="0.25">
      <c r="A16" s="4" t="s">
        <v>151</v>
      </c>
      <c r="B16" s="4" t="s">
        <v>152</v>
      </c>
    </row>
    <row r="17" spans="1:4" x14ac:dyDescent="0.25">
      <c r="A17" s="4" t="s">
        <v>153</v>
      </c>
      <c r="B17" s="4" t="s">
        <v>154</v>
      </c>
    </row>
    <row r="18" spans="1:4" x14ac:dyDescent="0.25">
      <c r="A18" s="4" t="s">
        <v>155</v>
      </c>
      <c r="B18" s="4" t="s">
        <v>156</v>
      </c>
    </row>
    <row r="19" spans="1:4" x14ac:dyDescent="0.25">
      <c r="A19" s="4" t="s">
        <v>157</v>
      </c>
      <c r="B19" s="4" t="s">
        <v>158</v>
      </c>
    </row>
    <row r="20" spans="1:4" x14ac:dyDescent="0.25">
      <c r="A20" s="4" t="s">
        <v>159</v>
      </c>
      <c r="B20" s="4" t="s">
        <v>160</v>
      </c>
    </row>
    <row r="21" spans="1:4" ht="25.5" x14ac:dyDescent="0.25">
      <c r="A21" s="4" t="s">
        <v>161</v>
      </c>
      <c r="B21" s="4" t="s">
        <v>162</v>
      </c>
    </row>
    <row r="23" spans="1:4" ht="27.95" customHeight="1" x14ac:dyDescent="0.25">
      <c r="A23" s="3" t="s">
        <v>163</v>
      </c>
      <c r="B23" s="3" t="s">
        <v>164</v>
      </c>
      <c r="C23" s="3" t="s">
        <v>165</v>
      </c>
      <c r="D23" s="3" t="s">
        <v>166</v>
      </c>
    </row>
    <row r="24" spans="1:4" ht="25.5" x14ac:dyDescent="0.25">
      <c r="A24" s="4" t="s">
        <v>167</v>
      </c>
      <c r="B24" s="15">
        <v>100</v>
      </c>
      <c r="C24" s="13">
        <v>100</v>
      </c>
      <c r="D24" s="4" t="s">
        <v>168</v>
      </c>
    </row>
    <row r="25" spans="1:4" ht="25.5" x14ac:dyDescent="0.25">
      <c r="A25" s="4" t="s">
        <v>169</v>
      </c>
      <c r="B25" s="15">
        <v>50</v>
      </c>
      <c r="C25" s="13">
        <v>50</v>
      </c>
      <c r="D25" s="4" t="s">
        <v>170</v>
      </c>
    </row>
    <row r="26" spans="1:4" ht="24" x14ac:dyDescent="0.25">
      <c r="A26" s="12" t="s">
        <v>171</v>
      </c>
    </row>
  </sheetData>
  <pageMargins left="0.3" right="0.3" top="0.4" bottom="0.4" header="0.5" footer="0.5"/>
  <pageSetup scale="56" fitToHeight="0" orientation="landscape" r:id="rId1"/>
  <headerFooter>
    <oddFooter>&amp;C&amp;A  -  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1"/>
  <sheetViews>
    <sheetView showGridLines="0" workbookViewId="0">
      <pane ySplit="1" topLeftCell="A2" activePane="bottomLeft" state="frozen"/>
      <selection pane="bottomLeft"/>
    </sheetView>
  </sheetViews>
  <sheetFormatPr defaultRowHeight="15" x14ac:dyDescent="0.25"/>
  <cols>
    <col min="1" max="1" width="58" customWidth="1"/>
    <col min="2" max="2" width="62" customWidth="1"/>
    <col min="3" max="3" width="30" customWidth="1"/>
    <col min="4" max="4" width="20" customWidth="1"/>
    <col min="5" max="5" width="24" customWidth="1"/>
    <col min="6" max="6" width="26" customWidth="1"/>
  </cols>
  <sheetData>
    <row r="1" spans="1:6" ht="19.5" x14ac:dyDescent="0.3">
      <c r="A1" s="1" t="s">
        <v>172</v>
      </c>
    </row>
    <row r="2" spans="1:6" x14ac:dyDescent="0.25">
      <c r="A2" s="2" t="s">
        <v>173</v>
      </c>
    </row>
    <row r="4" spans="1:6" ht="27.95" customHeight="1" x14ac:dyDescent="0.25">
      <c r="A4" s="3" t="s">
        <v>174</v>
      </c>
      <c r="B4" s="3" t="s">
        <v>175</v>
      </c>
      <c r="C4" s="3" t="s">
        <v>176</v>
      </c>
      <c r="D4" s="3" t="s">
        <v>177</v>
      </c>
      <c r="E4" s="3" t="s">
        <v>178</v>
      </c>
      <c r="F4" s="3" t="s">
        <v>179</v>
      </c>
    </row>
    <row r="5" spans="1:6" x14ac:dyDescent="0.25">
      <c r="A5" s="16">
        <v>1</v>
      </c>
      <c r="B5" s="17">
        <f>Parameters!$B$5</f>
        <v>0.1</v>
      </c>
      <c r="C5" s="6" t="s">
        <v>180</v>
      </c>
      <c r="D5" s="6" t="s">
        <v>124</v>
      </c>
      <c r="E5" s="18">
        <f>$B5*80</f>
        <v>8</v>
      </c>
      <c r="F5" s="18">
        <f>$B5*1000</f>
        <v>100</v>
      </c>
    </row>
    <row r="6" spans="1:6" x14ac:dyDescent="0.25">
      <c r="A6" s="16">
        <v>2</v>
      </c>
      <c r="B6" s="17">
        <f>Parameters!$B$6</f>
        <v>0.05</v>
      </c>
      <c r="C6" s="6" t="s">
        <v>181</v>
      </c>
      <c r="D6" s="6" t="s">
        <v>128</v>
      </c>
      <c r="E6" s="18">
        <f>$B6*80</f>
        <v>4</v>
      </c>
      <c r="F6" s="18">
        <f>$B6*1000</f>
        <v>50</v>
      </c>
    </row>
    <row r="7" spans="1:6" x14ac:dyDescent="0.25">
      <c r="A7" s="16">
        <v>3</v>
      </c>
      <c r="B7" s="17">
        <f>Parameters!$B$7</f>
        <v>0.05</v>
      </c>
      <c r="C7" s="6" t="s">
        <v>182</v>
      </c>
      <c r="D7" s="6" t="s">
        <v>132</v>
      </c>
      <c r="E7" s="18">
        <f>$B7*80</f>
        <v>4</v>
      </c>
      <c r="F7" s="18">
        <f>$B7*1000</f>
        <v>50</v>
      </c>
    </row>
    <row r="8" spans="1:6" x14ac:dyDescent="0.25">
      <c r="A8" s="16">
        <v>4</v>
      </c>
      <c r="B8" s="17">
        <f>Parameters!$B$8</f>
        <v>0.03</v>
      </c>
      <c r="C8" s="6" t="s">
        <v>183</v>
      </c>
      <c r="D8" s="6" t="s">
        <v>135</v>
      </c>
      <c r="E8" s="18">
        <f>$B8*80</f>
        <v>2.4</v>
      </c>
      <c r="F8" s="18">
        <f>$B8*1000</f>
        <v>30</v>
      </c>
    </row>
    <row r="9" spans="1:6" x14ac:dyDescent="0.25">
      <c r="A9" s="16">
        <v>5</v>
      </c>
      <c r="B9" s="17">
        <f>Parameters!$B$9</f>
        <v>0.02</v>
      </c>
      <c r="C9" s="6" t="s">
        <v>184</v>
      </c>
      <c r="D9" s="6" t="s">
        <v>138</v>
      </c>
      <c r="E9" s="18">
        <f>$B9*80</f>
        <v>1.6</v>
      </c>
      <c r="F9" s="18">
        <f>$B9*1000</f>
        <v>20</v>
      </c>
    </row>
    <row r="10" spans="1:6" x14ac:dyDescent="0.25">
      <c r="A10" s="19" t="s">
        <v>185</v>
      </c>
      <c r="B10" s="20">
        <f>SUM(B5:B9)</f>
        <v>0.25</v>
      </c>
      <c r="C10" s="21" t="s">
        <v>186</v>
      </c>
      <c r="D10" s="21"/>
      <c r="E10" s="22">
        <f>SUM(E5:E9)</f>
        <v>20</v>
      </c>
      <c r="F10" s="22">
        <f>SUM(F5:F9)</f>
        <v>250</v>
      </c>
    </row>
    <row r="12" spans="1:6" ht="27.95" customHeight="1" x14ac:dyDescent="0.25">
      <c r="A12" s="3" t="s">
        <v>187</v>
      </c>
      <c r="B12" s="3" t="s">
        <v>142</v>
      </c>
    </row>
    <row r="13" spans="1:6" x14ac:dyDescent="0.25">
      <c r="A13" s="6" t="s">
        <v>188</v>
      </c>
      <c r="B13" s="23">
        <f>B10</f>
        <v>0.25</v>
      </c>
    </row>
    <row r="14" spans="1:6" x14ac:dyDescent="0.25">
      <c r="A14" s="6" t="s">
        <v>189</v>
      </c>
      <c r="B14" s="17">
        <f>Parameters!$B$16</f>
        <v>0.25</v>
      </c>
    </row>
    <row r="15" spans="1:6" x14ac:dyDescent="0.25">
      <c r="A15" s="24" t="s">
        <v>190</v>
      </c>
      <c r="B15" s="25">
        <f>B13-B14</f>
        <v>0</v>
      </c>
    </row>
    <row r="16" spans="1:6" ht="60" x14ac:dyDescent="0.25">
      <c r="A16" s="12" t="s">
        <v>191</v>
      </c>
    </row>
    <row r="18" spans="1:2" ht="27.95" customHeight="1" x14ac:dyDescent="0.25">
      <c r="A18" s="3" t="s">
        <v>192</v>
      </c>
      <c r="B18" s="3" t="s">
        <v>71</v>
      </c>
    </row>
    <row r="19" spans="1:2" x14ac:dyDescent="0.25">
      <c r="A19" s="4" t="s">
        <v>193</v>
      </c>
      <c r="B19" s="4" t="s">
        <v>194</v>
      </c>
    </row>
    <row r="20" spans="1:2" x14ac:dyDescent="0.25">
      <c r="A20" s="4" t="s">
        <v>195</v>
      </c>
      <c r="B20" s="4" t="s">
        <v>196</v>
      </c>
    </row>
    <row r="21" spans="1:2" x14ac:dyDescent="0.25">
      <c r="A21" s="4" t="s">
        <v>197</v>
      </c>
      <c r="B21" s="4" t="s">
        <v>198</v>
      </c>
    </row>
  </sheetData>
  <pageMargins left="0.3" right="0.3" top="0.4" bottom="0.4" header="0.5" footer="0.5"/>
  <pageSetup scale="59" fitToHeight="0" orientation="landscape" r:id="rId1"/>
  <headerFooter>
    <oddFooter>&amp;C&amp;A  -  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28"/>
  <sheetViews>
    <sheetView showGridLines="0" workbookViewId="0">
      <pane ySplit="1" topLeftCell="A2" activePane="bottomLeft" state="frozen"/>
      <selection pane="bottomLeft"/>
    </sheetView>
  </sheetViews>
  <sheetFormatPr defaultRowHeight="15" x14ac:dyDescent="0.25"/>
  <cols>
    <col min="1" max="1" width="46" customWidth="1"/>
    <col min="2" max="2" width="88" customWidth="1"/>
    <col min="3" max="3" width="14" customWidth="1"/>
  </cols>
  <sheetData>
    <row r="1" spans="1:3" ht="19.5" x14ac:dyDescent="0.3">
      <c r="A1" s="1" t="s">
        <v>109</v>
      </c>
    </row>
    <row r="2" spans="1:3" x14ac:dyDescent="0.25">
      <c r="A2" s="2" t="s">
        <v>199</v>
      </c>
    </row>
    <row r="4" spans="1:3" ht="27.95" customHeight="1" x14ac:dyDescent="0.25">
      <c r="A4" s="3" t="s">
        <v>200</v>
      </c>
      <c r="B4" s="3" t="s">
        <v>142</v>
      </c>
    </row>
    <row r="5" spans="1:3" x14ac:dyDescent="0.25">
      <c r="A5" s="4" t="s">
        <v>201</v>
      </c>
      <c r="B5" s="4" t="s">
        <v>202</v>
      </c>
    </row>
    <row r="6" spans="1:3" ht="25.5" x14ac:dyDescent="0.25">
      <c r="A6" s="4" t="s">
        <v>203</v>
      </c>
      <c r="B6" s="4" t="s">
        <v>204</v>
      </c>
    </row>
    <row r="7" spans="1:3" x14ac:dyDescent="0.25">
      <c r="A7" s="4" t="s">
        <v>205</v>
      </c>
      <c r="B7" s="26">
        <f>Parameters!$B$10</f>
        <v>1.4999999999999999E-2</v>
      </c>
    </row>
    <row r="8" spans="1:3" x14ac:dyDescent="0.25">
      <c r="A8" s="4" t="s">
        <v>206</v>
      </c>
      <c r="B8" s="26">
        <f>Parameters!$B$11</f>
        <v>0.01</v>
      </c>
    </row>
    <row r="9" spans="1:3" x14ac:dyDescent="0.25">
      <c r="A9" s="4" t="s">
        <v>207</v>
      </c>
      <c r="B9" s="4" t="s">
        <v>208</v>
      </c>
    </row>
    <row r="10" spans="1:3" x14ac:dyDescent="0.25">
      <c r="A10" s="4" t="s">
        <v>209</v>
      </c>
      <c r="B10" s="4" t="s">
        <v>210</v>
      </c>
    </row>
    <row r="11" spans="1:3" x14ac:dyDescent="0.25">
      <c r="A11" s="4" t="s">
        <v>211</v>
      </c>
      <c r="B11" s="4" t="s">
        <v>212</v>
      </c>
    </row>
    <row r="12" spans="1:3" x14ac:dyDescent="0.25">
      <c r="A12" s="4" t="s">
        <v>213</v>
      </c>
      <c r="B12" s="4" t="s">
        <v>214</v>
      </c>
    </row>
    <row r="14" spans="1:3" ht="27.95" customHeight="1" x14ac:dyDescent="0.25">
      <c r="A14" s="3" t="s">
        <v>215</v>
      </c>
      <c r="B14" s="3" t="s">
        <v>216</v>
      </c>
      <c r="C14" s="3" t="s">
        <v>217</v>
      </c>
    </row>
    <row r="15" spans="1:3" x14ac:dyDescent="0.25">
      <c r="A15" s="14">
        <v>1</v>
      </c>
      <c r="B15" s="4" t="s">
        <v>218</v>
      </c>
      <c r="C15" s="4" t="s">
        <v>219</v>
      </c>
    </row>
    <row r="16" spans="1:3" ht="25.5" x14ac:dyDescent="0.25">
      <c r="A16" s="14">
        <v>2</v>
      </c>
      <c r="B16" s="4" t="s">
        <v>220</v>
      </c>
      <c r="C16" s="4" t="s">
        <v>221</v>
      </c>
    </row>
    <row r="17" spans="1:3" ht="25.5" x14ac:dyDescent="0.25">
      <c r="A17" s="14">
        <v>3</v>
      </c>
      <c r="B17" s="4" t="s">
        <v>222</v>
      </c>
      <c r="C17" s="4" t="s">
        <v>223</v>
      </c>
    </row>
    <row r="18" spans="1:3" x14ac:dyDescent="0.25">
      <c r="A18" s="14">
        <v>4</v>
      </c>
      <c r="B18" s="4" t="s">
        <v>224</v>
      </c>
      <c r="C18" s="4" t="s">
        <v>225</v>
      </c>
    </row>
    <row r="19" spans="1:3" x14ac:dyDescent="0.25">
      <c r="A19" s="14">
        <v>5</v>
      </c>
      <c r="B19" s="4" t="s">
        <v>226</v>
      </c>
      <c r="C19" s="4" t="s">
        <v>227</v>
      </c>
    </row>
    <row r="21" spans="1:3" ht="27.95" customHeight="1" x14ac:dyDescent="0.25">
      <c r="A21" s="3" t="s">
        <v>228</v>
      </c>
      <c r="B21" s="3" t="s">
        <v>229</v>
      </c>
    </row>
    <row r="22" spans="1:3" x14ac:dyDescent="0.25">
      <c r="A22" s="4" t="s">
        <v>230</v>
      </c>
      <c r="B22" s="4" t="s">
        <v>231</v>
      </c>
    </row>
    <row r="23" spans="1:3" x14ac:dyDescent="0.25">
      <c r="A23" s="4" t="s">
        <v>232</v>
      </c>
      <c r="B23" s="4" t="s">
        <v>233</v>
      </c>
    </row>
    <row r="24" spans="1:3" x14ac:dyDescent="0.25">
      <c r="A24" s="4" t="s">
        <v>234</v>
      </c>
      <c r="B24" s="4" t="s">
        <v>235</v>
      </c>
    </row>
    <row r="25" spans="1:3" x14ac:dyDescent="0.25">
      <c r="A25" s="4" t="s">
        <v>236</v>
      </c>
      <c r="B25" s="4" t="s">
        <v>237</v>
      </c>
    </row>
    <row r="26" spans="1:3" x14ac:dyDescent="0.25">
      <c r="A26" s="4" t="s">
        <v>238</v>
      </c>
      <c r="B26" s="4" t="s">
        <v>239</v>
      </c>
    </row>
    <row r="28" spans="1:3" ht="60" x14ac:dyDescent="0.25">
      <c r="A28" s="12" t="s">
        <v>240</v>
      </c>
    </row>
  </sheetData>
  <pageMargins left="0.3" right="0.3" top="0.4" bottom="0.4" header="0.5" footer="0.5"/>
  <pageSetup scale="87" fitToHeight="0" orientation="landscape" r:id="rId1"/>
  <headerFooter>
    <oddFooter>&amp;C&amp;A  -  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4"/>
  <sheetViews>
    <sheetView showGridLines="0" workbookViewId="0">
      <pane ySplit="1" topLeftCell="A2" activePane="bottomLeft" state="frozen"/>
      <selection pane="bottomLeft"/>
    </sheetView>
  </sheetViews>
  <sheetFormatPr defaultRowHeight="15" x14ac:dyDescent="0.25"/>
  <cols>
    <col min="1" max="1" width="56" customWidth="1"/>
    <col min="2" max="2" width="80" customWidth="1"/>
    <col min="3" max="3" width="18" customWidth="1"/>
    <col min="4" max="4" width="34" customWidth="1"/>
  </cols>
  <sheetData>
    <row r="1" spans="1:4" ht="19.5" x14ac:dyDescent="0.3">
      <c r="A1" s="1" t="s">
        <v>241</v>
      </c>
    </row>
    <row r="2" spans="1:4" x14ac:dyDescent="0.25">
      <c r="A2" s="2" t="s">
        <v>242</v>
      </c>
    </row>
    <row r="4" spans="1:4" ht="27.95" customHeight="1" x14ac:dyDescent="0.25">
      <c r="A4" s="3" t="s">
        <v>200</v>
      </c>
      <c r="B4" s="3" t="s">
        <v>142</v>
      </c>
    </row>
    <row r="5" spans="1:4" x14ac:dyDescent="0.25">
      <c r="A5" s="4" t="s">
        <v>243</v>
      </c>
      <c r="B5" s="4" t="s">
        <v>244</v>
      </c>
    </row>
    <row r="6" spans="1:4" ht="25.5" x14ac:dyDescent="0.25">
      <c r="A6" s="4" t="s">
        <v>203</v>
      </c>
      <c r="B6" s="4" t="s">
        <v>245</v>
      </c>
    </row>
    <row r="7" spans="1:4" x14ac:dyDescent="0.25">
      <c r="A7" s="6" t="s">
        <v>246</v>
      </c>
      <c r="B7" s="17">
        <f>Parameters!$B$12</f>
        <v>0.02</v>
      </c>
    </row>
    <row r="8" spans="1:4" x14ac:dyDescent="0.25">
      <c r="A8" s="4" t="s">
        <v>247</v>
      </c>
      <c r="B8" s="4" t="s">
        <v>248</v>
      </c>
    </row>
    <row r="9" spans="1:4" ht="25.5" x14ac:dyDescent="0.25">
      <c r="A9" s="4" t="s">
        <v>249</v>
      </c>
      <c r="B9" s="4" t="s">
        <v>250</v>
      </c>
    </row>
    <row r="10" spans="1:4" x14ac:dyDescent="0.25">
      <c r="A10" s="4" t="s">
        <v>251</v>
      </c>
      <c r="B10" s="4" t="s">
        <v>252</v>
      </c>
    </row>
    <row r="11" spans="1:4" x14ac:dyDescent="0.25">
      <c r="A11" s="4" t="s">
        <v>253</v>
      </c>
      <c r="B11" s="4" t="s">
        <v>254</v>
      </c>
    </row>
    <row r="13" spans="1:4" ht="27.95" customHeight="1" x14ac:dyDescent="0.25">
      <c r="A13" s="3" t="s">
        <v>255</v>
      </c>
      <c r="B13" s="3" t="s">
        <v>256</v>
      </c>
      <c r="C13" s="3" t="s">
        <v>257</v>
      </c>
      <c r="D13" s="3" t="s">
        <v>258</v>
      </c>
    </row>
    <row r="14" spans="1:4" x14ac:dyDescent="0.25">
      <c r="A14" s="6" t="s">
        <v>259</v>
      </c>
      <c r="B14" s="27">
        <f>Parameters!$B$13</f>
        <v>1</v>
      </c>
      <c r="C14" s="28">
        <f>Parameters!$B$12*B14</f>
        <v>0.02</v>
      </c>
      <c r="D14" s="18">
        <f>C14*1000</f>
        <v>20</v>
      </c>
    </row>
    <row r="15" spans="1:4" x14ac:dyDescent="0.25">
      <c r="A15" s="6" t="s">
        <v>260</v>
      </c>
      <c r="B15" s="27">
        <f>Parameters!$B$14</f>
        <v>1.1499999999999999</v>
      </c>
      <c r="C15" s="28">
        <f>Parameters!$B$12*B15</f>
        <v>2.3E-2</v>
      </c>
      <c r="D15" s="18">
        <f>C15*1000</f>
        <v>23</v>
      </c>
    </row>
    <row r="16" spans="1:4" x14ac:dyDescent="0.25">
      <c r="A16" s="6" t="s">
        <v>261</v>
      </c>
      <c r="B16" s="27">
        <f>Parameters!$B$15</f>
        <v>1.25</v>
      </c>
      <c r="C16" s="28">
        <f>Parameters!$B$12*B16</f>
        <v>2.5000000000000001E-2</v>
      </c>
      <c r="D16" s="18">
        <f>C16*1000</f>
        <v>25</v>
      </c>
    </row>
    <row r="17" spans="1:4" x14ac:dyDescent="0.25">
      <c r="A17" s="6" t="s">
        <v>262</v>
      </c>
      <c r="B17" s="6" t="s">
        <v>263</v>
      </c>
      <c r="C17" s="6" t="s">
        <v>264</v>
      </c>
      <c r="D17" s="6" t="s">
        <v>265</v>
      </c>
    </row>
    <row r="19" spans="1:4" ht="27.95" customHeight="1" x14ac:dyDescent="0.25">
      <c r="A19" s="3" t="s">
        <v>266</v>
      </c>
      <c r="B19" s="3" t="s">
        <v>267</v>
      </c>
      <c r="C19" s="3" t="s">
        <v>256</v>
      </c>
      <c r="D19" s="3" t="s">
        <v>268</v>
      </c>
    </row>
    <row r="20" spans="1:4" x14ac:dyDescent="0.25">
      <c r="A20" s="6" t="s">
        <v>269</v>
      </c>
      <c r="B20" s="16">
        <v>1</v>
      </c>
      <c r="C20" s="6" t="s">
        <v>263</v>
      </c>
      <c r="D20" s="28">
        <v>0</v>
      </c>
    </row>
    <row r="21" spans="1:4" x14ac:dyDescent="0.25">
      <c r="A21" s="6" t="s">
        <v>270</v>
      </c>
      <c r="B21" s="16">
        <v>2</v>
      </c>
      <c r="C21" s="27">
        <f>Parameters!$B$13</f>
        <v>1</v>
      </c>
      <c r="D21" s="28">
        <f>Parameters!$B$12*C21/B21</f>
        <v>0.01</v>
      </c>
    </row>
    <row r="22" spans="1:4" x14ac:dyDescent="0.25">
      <c r="A22" s="6" t="s">
        <v>271</v>
      </c>
      <c r="B22" s="16">
        <v>3</v>
      </c>
      <c r="C22" s="27">
        <f>Parameters!$B$14</f>
        <v>1.1499999999999999</v>
      </c>
      <c r="D22" s="28">
        <f>Parameters!$B$12*C22/B22</f>
        <v>7.6666666666666662E-3</v>
      </c>
    </row>
    <row r="23" spans="1:4" x14ac:dyDescent="0.25">
      <c r="A23" s="6" t="s">
        <v>272</v>
      </c>
      <c r="B23" s="16">
        <v>4</v>
      </c>
      <c r="C23" s="27">
        <f>Parameters!$B$15</f>
        <v>1.25</v>
      </c>
      <c r="D23" s="28">
        <f>Parameters!$B$12*C23/B23</f>
        <v>6.2500000000000003E-3</v>
      </c>
    </row>
    <row r="24" spans="1:4" ht="48" x14ac:dyDescent="0.25">
      <c r="A24" s="12" t="s">
        <v>273</v>
      </c>
    </row>
  </sheetData>
  <pageMargins left="0.3" right="0.3" top="0.4" bottom="0.4" header="0.5" footer="0.5"/>
  <pageSetup scale="69" fitToHeight="0" orientation="landscape" r:id="rId1"/>
  <headerFooter>
    <oddFooter>&amp;C&amp;A  -  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27"/>
  <sheetViews>
    <sheetView showGridLines="0" workbookViewId="0">
      <pane ySplit="1" topLeftCell="A2" activePane="bottomLeft" state="frozen"/>
      <selection pane="bottomLeft"/>
    </sheetView>
  </sheetViews>
  <sheetFormatPr defaultRowHeight="15" x14ac:dyDescent="0.25"/>
  <cols>
    <col min="1" max="1" width="64" customWidth="1"/>
    <col min="2" max="2" width="74" customWidth="1"/>
    <col min="3" max="3" width="40" customWidth="1"/>
    <col min="4" max="4" width="56" customWidth="1"/>
  </cols>
  <sheetData>
    <row r="1" spans="1:4" ht="19.5" x14ac:dyDescent="0.3">
      <c r="A1" s="1" t="s">
        <v>274</v>
      </c>
    </row>
    <row r="2" spans="1:4" x14ac:dyDescent="0.25">
      <c r="A2" s="2" t="s">
        <v>275</v>
      </c>
    </row>
    <row r="4" spans="1:4" ht="27.95" customHeight="1" x14ac:dyDescent="0.25">
      <c r="A4" s="3" t="s">
        <v>215</v>
      </c>
      <c r="B4" s="3" t="s">
        <v>276</v>
      </c>
      <c r="C4" s="3" t="s">
        <v>277</v>
      </c>
      <c r="D4" s="3" t="s">
        <v>141</v>
      </c>
    </row>
    <row r="5" spans="1:4" x14ac:dyDescent="0.25">
      <c r="A5" s="14">
        <v>1</v>
      </c>
      <c r="B5" s="4" t="s">
        <v>278</v>
      </c>
      <c r="C5" s="4" t="s">
        <v>279</v>
      </c>
      <c r="D5" s="4" t="s">
        <v>280</v>
      </c>
    </row>
    <row r="6" spans="1:4" x14ac:dyDescent="0.25">
      <c r="A6" s="14">
        <v>2</v>
      </c>
      <c r="B6" s="4" t="s">
        <v>281</v>
      </c>
      <c r="C6" s="4" t="s">
        <v>282</v>
      </c>
      <c r="D6" s="4" t="s">
        <v>283</v>
      </c>
    </row>
    <row r="7" spans="1:4" x14ac:dyDescent="0.25">
      <c r="A7" s="14">
        <v>3</v>
      </c>
      <c r="B7" s="4" t="s">
        <v>284</v>
      </c>
      <c r="C7" s="4" t="s">
        <v>285</v>
      </c>
      <c r="D7" s="4" t="s">
        <v>286</v>
      </c>
    </row>
    <row r="8" spans="1:4" x14ac:dyDescent="0.25">
      <c r="A8" s="14">
        <v>4</v>
      </c>
      <c r="B8" s="4" t="s">
        <v>287</v>
      </c>
      <c r="C8" s="4" t="s">
        <v>288</v>
      </c>
      <c r="D8" s="4" t="s">
        <v>289</v>
      </c>
    </row>
    <row r="9" spans="1:4" x14ac:dyDescent="0.25">
      <c r="A9" s="14">
        <v>5</v>
      </c>
      <c r="B9" s="4" t="s">
        <v>290</v>
      </c>
      <c r="C9" s="4" t="s">
        <v>291</v>
      </c>
      <c r="D9" s="4" t="s">
        <v>292</v>
      </c>
    </row>
    <row r="10" spans="1:4" x14ac:dyDescent="0.25">
      <c r="A10" s="14">
        <v>6</v>
      </c>
      <c r="B10" s="4" t="s">
        <v>293</v>
      </c>
      <c r="C10" s="4" t="s">
        <v>294</v>
      </c>
      <c r="D10" s="4" t="s">
        <v>295</v>
      </c>
    </row>
    <row r="11" spans="1:4" x14ac:dyDescent="0.25">
      <c r="A11" s="14">
        <v>7</v>
      </c>
      <c r="B11" s="4" t="s">
        <v>296</v>
      </c>
      <c r="C11" s="4" t="s">
        <v>297</v>
      </c>
      <c r="D11" s="4" t="s">
        <v>298</v>
      </c>
    </row>
    <row r="12" spans="1:4" x14ac:dyDescent="0.25">
      <c r="A12" s="14">
        <v>8</v>
      </c>
      <c r="B12" s="4" t="s">
        <v>299</v>
      </c>
      <c r="C12" s="4" t="s">
        <v>300</v>
      </c>
      <c r="D12" s="4" t="s">
        <v>301</v>
      </c>
    </row>
    <row r="14" spans="1:4" ht="27.95" customHeight="1" x14ac:dyDescent="0.25">
      <c r="A14" s="3" t="s">
        <v>302</v>
      </c>
      <c r="B14" s="3" t="s">
        <v>142</v>
      </c>
    </row>
    <row r="15" spans="1:4" x14ac:dyDescent="0.25">
      <c r="A15" s="24" t="s">
        <v>303</v>
      </c>
      <c r="B15" s="29">
        <f>Parameters!$B$16</f>
        <v>0.25</v>
      </c>
    </row>
    <row r="16" spans="1:4" x14ac:dyDescent="0.25">
      <c r="A16" s="24" t="s">
        <v>304</v>
      </c>
      <c r="B16" s="25">
        <f>Parameters!$B$16*Parameters!$B$18</f>
        <v>0.2</v>
      </c>
    </row>
    <row r="17" spans="1:2" ht="36" x14ac:dyDescent="0.25">
      <c r="A17" s="12" t="s">
        <v>305</v>
      </c>
    </row>
    <row r="19" spans="1:2" ht="27.95" customHeight="1" x14ac:dyDescent="0.25">
      <c r="A19" s="3" t="s">
        <v>306</v>
      </c>
      <c r="B19" s="3" t="s">
        <v>307</v>
      </c>
    </row>
    <row r="20" spans="1:2" x14ac:dyDescent="0.25">
      <c r="A20" s="4" t="s">
        <v>308</v>
      </c>
      <c r="B20" s="4" t="s">
        <v>309</v>
      </c>
    </row>
    <row r="21" spans="1:2" ht="25.5" x14ac:dyDescent="0.25">
      <c r="A21" s="4" t="s">
        <v>310</v>
      </c>
      <c r="B21" s="4" t="s">
        <v>311</v>
      </c>
    </row>
    <row r="22" spans="1:2" ht="25.5" x14ac:dyDescent="0.25">
      <c r="A22" s="4" t="s">
        <v>312</v>
      </c>
      <c r="B22" s="4" t="s">
        <v>313</v>
      </c>
    </row>
    <row r="23" spans="1:2" ht="25.5" x14ac:dyDescent="0.25">
      <c r="A23" s="4" t="s">
        <v>314</v>
      </c>
      <c r="B23" s="4" t="s">
        <v>315</v>
      </c>
    </row>
    <row r="25" spans="1:2" ht="27.95" customHeight="1" x14ac:dyDescent="0.25">
      <c r="A25" s="3" t="s">
        <v>316</v>
      </c>
      <c r="B25" s="3" t="s">
        <v>229</v>
      </c>
    </row>
    <row r="26" spans="1:2" x14ac:dyDescent="0.25">
      <c r="A26" s="4" t="s">
        <v>317</v>
      </c>
      <c r="B26" s="4" t="s">
        <v>318</v>
      </c>
    </row>
    <row r="27" spans="1:2" ht="25.5" x14ac:dyDescent="0.25">
      <c r="A27" s="30" t="s">
        <v>319</v>
      </c>
      <c r="B27" s="30" t="s">
        <v>320</v>
      </c>
    </row>
  </sheetData>
  <pageMargins left="0.3" right="0.3" top="0.4" bottom="0.4" header="0.5" footer="0.5"/>
  <pageSetup scale="55" fitToHeight="0" orientation="landscape" r:id="rId1"/>
  <headerFooter>
    <oddFooter>&amp;C&amp;A  -  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51"/>
  <sheetViews>
    <sheetView showGridLines="0" workbookViewId="0">
      <pane ySplit="1" topLeftCell="A2" activePane="bottomLeft" state="frozen"/>
      <selection pane="bottomLeft"/>
    </sheetView>
  </sheetViews>
  <sheetFormatPr defaultRowHeight="15" x14ac:dyDescent="0.25"/>
  <cols>
    <col min="1" max="1" width="50" customWidth="1"/>
    <col min="2" max="2" width="22" customWidth="1"/>
    <col min="3" max="3" width="30" customWidth="1"/>
    <col min="4" max="4" width="26" customWidth="1"/>
    <col min="5" max="6" width="14" customWidth="1"/>
    <col min="7" max="7" width="54" customWidth="1"/>
    <col min="8" max="19" width="13" customWidth="1"/>
  </cols>
  <sheetData>
    <row r="1" spans="1:7" ht="19.5" x14ac:dyDescent="0.3">
      <c r="A1" s="1" t="s">
        <v>321</v>
      </c>
    </row>
    <row r="2" spans="1:7" x14ac:dyDescent="0.25">
      <c r="A2" s="2" t="s">
        <v>322</v>
      </c>
    </row>
    <row r="4" spans="1:7" ht="27.95" customHeight="1" x14ac:dyDescent="0.25">
      <c r="A4" s="3" t="s">
        <v>124</v>
      </c>
      <c r="B4" s="3" t="s">
        <v>323</v>
      </c>
      <c r="C4" s="3" t="s">
        <v>35</v>
      </c>
      <c r="D4" s="3" t="s">
        <v>324</v>
      </c>
      <c r="E4" s="3" t="s">
        <v>118</v>
      </c>
      <c r="F4" s="3" t="s">
        <v>122</v>
      </c>
      <c r="G4" s="3" t="s">
        <v>325</v>
      </c>
    </row>
    <row r="5" spans="1:7" x14ac:dyDescent="0.25">
      <c r="A5" s="4" t="s">
        <v>326</v>
      </c>
      <c r="B5" s="4" t="s">
        <v>327</v>
      </c>
      <c r="C5" s="11">
        <v>160</v>
      </c>
      <c r="D5" s="31" t="s">
        <v>129</v>
      </c>
      <c r="E5" s="4" t="s">
        <v>132</v>
      </c>
      <c r="F5" s="14">
        <v>3</v>
      </c>
      <c r="G5" s="4" t="s">
        <v>328</v>
      </c>
    </row>
    <row r="6" spans="1:7" x14ac:dyDescent="0.25">
      <c r="A6" s="4" t="s">
        <v>329</v>
      </c>
      <c r="B6" s="4" t="s">
        <v>326</v>
      </c>
      <c r="C6" s="11">
        <v>120</v>
      </c>
      <c r="D6" s="31" t="s">
        <v>129</v>
      </c>
      <c r="E6" s="4" t="s">
        <v>124</v>
      </c>
      <c r="F6" s="14">
        <v>1</v>
      </c>
      <c r="G6" s="4" t="s">
        <v>330</v>
      </c>
    </row>
    <row r="7" spans="1:7" x14ac:dyDescent="0.25">
      <c r="A7" s="4" t="s">
        <v>331</v>
      </c>
      <c r="B7" s="4" t="s">
        <v>326</v>
      </c>
      <c r="C7" s="11">
        <v>80</v>
      </c>
      <c r="D7" s="31" t="s">
        <v>129</v>
      </c>
      <c r="E7" s="4" t="s">
        <v>128</v>
      </c>
      <c r="F7" s="14">
        <v>2</v>
      </c>
      <c r="G7" s="4" t="s">
        <v>332</v>
      </c>
    </row>
    <row r="8" spans="1:7" x14ac:dyDescent="0.25">
      <c r="A8" s="4" t="s">
        <v>333</v>
      </c>
      <c r="B8" s="4" t="s">
        <v>326</v>
      </c>
      <c r="C8" s="11">
        <v>80</v>
      </c>
      <c r="D8" s="31" t="s">
        <v>129</v>
      </c>
      <c r="E8" s="4" t="s">
        <v>124</v>
      </c>
      <c r="F8" s="14">
        <v>1</v>
      </c>
      <c r="G8" s="4" t="s">
        <v>334</v>
      </c>
    </row>
    <row r="9" spans="1:7" x14ac:dyDescent="0.25">
      <c r="A9" s="4" t="s">
        <v>335</v>
      </c>
      <c r="B9" s="4" t="s">
        <v>329</v>
      </c>
      <c r="C9" s="11">
        <v>40</v>
      </c>
      <c r="D9" s="31" t="s">
        <v>336</v>
      </c>
      <c r="E9" s="4" t="s">
        <v>124</v>
      </c>
      <c r="F9" s="14">
        <v>1</v>
      </c>
      <c r="G9" s="4" t="s">
        <v>337</v>
      </c>
    </row>
    <row r="10" spans="1:7" x14ac:dyDescent="0.25">
      <c r="A10" s="4" t="s">
        <v>338</v>
      </c>
      <c r="B10" s="4" t="s">
        <v>329</v>
      </c>
      <c r="C10" s="11">
        <v>120</v>
      </c>
      <c r="D10" s="31" t="s">
        <v>129</v>
      </c>
      <c r="E10" s="4" t="s">
        <v>124</v>
      </c>
      <c r="F10" s="14">
        <v>1</v>
      </c>
      <c r="G10" s="4" t="s">
        <v>334</v>
      </c>
    </row>
    <row r="11" spans="1:7" x14ac:dyDescent="0.25">
      <c r="A11" s="4" t="s">
        <v>339</v>
      </c>
      <c r="B11" s="4" t="s">
        <v>331</v>
      </c>
      <c r="C11" s="11">
        <v>1200</v>
      </c>
      <c r="D11" s="31" t="s">
        <v>129</v>
      </c>
      <c r="E11" s="4" t="s">
        <v>124</v>
      </c>
      <c r="F11" s="14">
        <v>1</v>
      </c>
      <c r="G11" s="4" t="s">
        <v>334</v>
      </c>
    </row>
    <row r="12" spans="1:7" x14ac:dyDescent="0.25">
      <c r="A12" s="4" t="s">
        <v>340</v>
      </c>
      <c r="B12" s="4" t="s">
        <v>331</v>
      </c>
      <c r="C12" s="11">
        <v>80</v>
      </c>
      <c r="D12" s="31" t="s">
        <v>129</v>
      </c>
      <c r="E12" s="4" t="s">
        <v>124</v>
      </c>
      <c r="F12" s="14">
        <v>1</v>
      </c>
      <c r="G12" s="4" t="s">
        <v>341</v>
      </c>
    </row>
    <row r="13" spans="1:7" x14ac:dyDescent="0.25">
      <c r="A13" s="4" t="s">
        <v>342</v>
      </c>
      <c r="B13" s="4" t="s">
        <v>335</v>
      </c>
      <c r="C13" s="11">
        <v>240</v>
      </c>
      <c r="D13" s="31" t="s">
        <v>129</v>
      </c>
      <c r="E13" s="4" t="s">
        <v>124</v>
      </c>
      <c r="F13" s="14">
        <v>1</v>
      </c>
      <c r="G13" s="4" t="s">
        <v>334</v>
      </c>
    </row>
    <row r="14" spans="1:7" x14ac:dyDescent="0.25">
      <c r="A14" s="4" t="s">
        <v>343</v>
      </c>
      <c r="B14" s="4" t="s">
        <v>340</v>
      </c>
      <c r="C14" s="11">
        <v>40</v>
      </c>
      <c r="D14" s="31" t="s">
        <v>336</v>
      </c>
      <c r="E14" s="4" t="s">
        <v>124</v>
      </c>
      <c r="F14" s="14">
        <v>1</v>
      </c>
      <c r="G14" s="4" t="s">
        <v>337</v>
      </c>
    </row>
    <row r="15" spans="1:7" x14ac:dyDescent="0.25">
      <c r="A15" s="21" t="s">
        <v>185</v>
      </c>
      <c r="B15" s="21"/>
      <c r="C15" s="22">
        <f>SUM(C5:C14)</f>
        <v>2160</v>
      </c>
      <c r="D15" s="21"/>
      <c r="E15" s="21"/>
      <c r="F15" s="21"/>
      <c r="G15" s="21"/>
    </row>
    <row r="17" spans="1:19" ht="15.75" x14ac:dyDescent="0.25">
      <c r="A17" s="32" t="s">
        <v>344</v>
      </c>
    </row>
    <row r="18" spans="1:19" ht="27.95" customHeight="1" x14ac:dyDescent="0.25">
      <c r="A18" s="3" t="s">
        <v>48</v>
      </c>
      <c r="B18" s="3" t="s">
        <v>35</v>
      </c>
      <c r="C18" s="3" t="s">
        <v>345</v>
      </c>
      <c r="D18" s="3" t="s">
        <v>346</v>
      </c>
      <c r="E18" s="3" t="s">
        <v>278</v>
      </c>
      <c r="F18" s="3" t="s">
        <v>281</v>
      </c>
      <c r="G18" s="3" t="s">
        <v>347</v>
      </c>
      <c r="H18" s="3" t="s">
        <v>348</v>
      </c>
      <c r="I18" s="3" t="s">
        <v>349</v>
      </c>
      <c r="J18" s="3" t="s">
        <v>350</v>
      </c>
      <c r="K18" s="3" t="s">
        <v>290</v>
      </c>
      <c r="L18" s="3" t="s">
        <v>351</v>
      </c>
      <c r="M18" s="3" t="s">
        <v>352</v>
      </c>
      <c r="N18" s="3" t="s">
        <v>353</v>
      </c>
      <c r="O18" s="3" t="s">
        <v>354</v>
      </c>
      <c r="P18" s="3" t="s">
        <v>355</v>
      </c>
      <c r="Q18" s="3" t="s">
        <v>299</v>
      </c>
      <c r="R18" s="3" t="s">
        <v>356</v>
      </c>
      <c r="S18" s="3" t="s">
        <v>357</v>
      </c>
    </row>
    <row r="19" spans="1:19" x14ac:dyDescent="0.25">
      <c r="A19" s="6" t="s">
        <v>326</v>
      </c>
      <c r="B19" s="18">
        <f t="shared" ref="B19:B28" si="0">INDEX($C$5:$C$14,MATCH(A19,$A$5:$A$14,0))</f>
        <v>160</v>
      </c>
      <c r="C19" s="33">
        <v>0</v>
      </c>
      <c r="D19" s="6" t="s">
        <v>358</v>
      </c>
      <c r="E19" s="18">
        <f>Parameters!$B$16*B19</f>
        <v>40</v>
      </c>
      <c r="F19" s="18">
        <f t="shared" ref="F19:F28" si="1">C19*B19</f>
        <v>0</v>
      </c>
      <c r="G19" s="34">
        <v>0</v>
      </c>
      <c r="H19" s="18">
        <f>G19*Parameters!$C$10*B19</f>
        <v>0</v>
      </c>
      <c r="I19" s="18">
        <f t="shared" ref="I19:I28" si="2">E19-F19</f>
        <v>40</v>
      </c>
      <c r="J19" s="28">
        <f t="shared" ref="J19:J28" si="3">IF(H19=0,1,TRUNC(MIN(1,I19/H19),6))</f>
        <v>1</v>
      </c>
      <c r="K19" s="18">
        <f t="shared" ref="K19:K28" si="4">TRUNC(H19*J19,6)</f>
        <v>0</v>
      </c>
      <c r="L19" s="34">
        <v>0</v>
      </c>
      <c r="M19" s="34">
        <v>0</v>
      </c>
      <c r="N19" s="18">
        <f>(L19*Parameters!$C$12*Parameters!$C$14+M19*Parameters!$C$12)*B19</f>
        <v>0</v>
      </c>
      <c r="O19" s="18">
        <f t="shared" ref="O19:O28" si="5">I19-K19</f>
        <v>40</v>
      </c>
      <c r="P19" s="28">
        <f t="shared" ref="P19:P28" si="6">IF(N19=0,1,TRUNC(MIN(1,O19/N19),6))</f>
        <v>1</v>
      </c>
      <c r="Q19" s="18">
        <f t="shared" ref="Q19:Q28" si="7">TRUNC(N19*P19,6)</f>
        <v>0</v>
      </c>
      <c r="R19" s="18">
        <f t="shared" ref="R19:R28" si="8">F19+K19+Q19</f>
        <v>0</v>
      </c>
      <c r="S19" s="6" t="str">
        <f t="shared" ref="S19:S28" si="9">IF(R19&lt;=E19+0.0000001,"holds","BREACH")</f>
        <v>holds</v>
      </c>
    </row>
    <row r="20" spans="1:19" x14ac:dyDescent="0.25">
      <c r="A20" s="6" t="s">
        <v>329</v>
      </c>
      <c r="B20" s="18">
        <f t="shared" si="0"/>
        <v>120</v>
      </c>
      <c r="C20" s="33">
        <v>0.1</v>
      </c>
      <c r="D20" s="6" t="s">
        <v>359</v>
      </c>
      <c r="E20" s="18">
        <f>Parameters!$B$16*B20</f>
        <v>30</v>
      </c>
      <c r="F20" s="18">
        <f t="shared" si="1"/>
        <v>12</v>
      </c>
      <c r="G20" s="34">
        <v>0</v>
      </c>
      <c r="H20" s="18">
        <f>G20*Parameters!$C$10*B20</f>
        <v>0</v>
      </c>
      <c r="I20" s="18">
        <f t="shared" si="2"/>
        <v>18</v>
      </c>
      <c r="J20" s="28">
        <f t="shared" si="3"/>
        <v>1</v>
      </c>
      <c r="K20" s="18">
        <f t="shared" si="4"/>
        <v>0</v>
      </c>
      <c r="L20" s="34">
        <v>1</v>
      </c>
      <c r="M20" s="34">
        <v>0</v>
      </c>
      <c r="N20" s="18">
        <f>(L20*Parameters!$C$12*Parameters!$C$14+M20*Parameters!$C$12)*B20</f>
        <v>6.8999999999999995</v>
      </c>
      <c r="O20" s="18">
        <f t="shared" si="5"/>
        <v>18</v>
      </c>
      <c r="P20" s="28">
        <f t="shared" si="6"/>
        <v>1</v>
      </c>
      <c r="Q20" s="18">
        <f t="shared" si="7"/>
        <v>6.9</v>
      </c>
      <c r="R20" s="18">
        <f t="shared" si="8"/>
        <v>18.899999999999999</v>
      </c>
      <c r="S20" s="6" t="str">
        <f t="shared" si="9"/>
        <v>holds</v>
      </c>
    </row>
    <row r="21" spans="1:19" x14ac:dyDescent="0.25">
      <c r="A21" s="6" t="s">
        <v>331</v>
      </c>
      <c r="B21" s="18">
        <f t="shared" si="0"/>
        <v>80</v>
      </c>
      <c r="C21" s="33">
        <v>0.1</v>
      </c>
      <c r="D21" s="6" t="s">
        <v>359</v>
      </c>
      <c r="E21" s="18">
        <f>Parameters!$B$16*B21</f>
        <v>20</v>
      </c>
      <c r="F21" s="18">
        <f t="shared" si="1"/>
        <v>8</v>
      </c>
      <c r="G21" s="34">
        <v>1</v>
      </c>
      <c r="H21" s="18">
        <f>G21*Parameters!$C$10*B21</f>
        <v>3.2</v>
      </c>
      <c r="I21" s="18">
        <f t="shared" si="2"/>
        <v>12</v>
      </c>
      <c r="J21" s="28">
        <f t="shared" si="3"/>
        <v>1</v>
      </c>
      <c r="K21" s="18">
        <f t="shared" si="4"/>
        <v>3.2</v>
      </c>
      <c r="L21" s="34">
        <v>0</v>
      </c>
      <c r="M21" s="34">
        <v>0</v>
      </c>
      <c r="N21" s="18">
        <f>(L21*Parameters!$C$12*Parameters!$C$14+M21*Parameters!$C$12)*B21</f>
        <v>0</v>
      </c>
      <c r="O21" s="18">
        <f t="shared" si="5"/>
        <v>8.8000000000000007</v>
      </c>
      <c r="P21" s="28">
        <f t="shared" si="6"/>
        <v>1</v>
      </c>
      <c r="Q21" s="18">
        <f t="shared" si="7"/>
        <v>0</v>
      </c>
      <c r="R21" s="18">
        <f t="shared" si="8"/>
        <v>11.2</v>
      </c>
      <c r="S21" s="6" t="str">
        <f t="shared" si="9"/>
        <v>holds</v>
      </c>
    </row>
    <row r="22" spans="1:19" x14ac:dyDescent="0.25">
      <c r="A22" s="6" t="s">
        <v>333</v>
      </c>
      <c r="B22" s="18">
        <f t="shared" si="0"/>
        <v>80</v>
      </c>
      <c r="C22" s="33">
        <v>0.1</v>
      </c>
      <c r="D22" s="6" t="s">
        <v>359</v>
      </c>
      <c r="E22" s="18">
        <f>Parameters!$B$16*B22</f>
        <v>20</v>
      </c>
      <c r="F22" s="18">
        <f t="shared" si="1"/>
        <v>8</v>
      </c>
      <c r="G22" s="34">
        <v>0</v>
      </c>
      <c r="H22" s="18">
        <f>G22*Parameters!$C$10*B22</f>
        <v>0</v>
      </c>
      <c r="I22" s="18">
        <f t="shared" si="2"/>
        <v>12</v>
      </c>
      <c r="J22" s="28">
        <f t="shared" si="3"/>
        <v>1</v>
      </c>
      <c r="K22" s="18">
        <f t="shared" si="4"/>
        <v>0</v>
      </c>
      <c r="L22" s="34">
        <v>0</v>
      </c>
      <c r="M22" s="34">
        <v>0</v>
      </c>
      <c r="N22" s="18">
        <f>(L22*Parameters!$C$12*Parameters!$C$14+M22*Parameters!$C$12)*B22</f>
        <v>0</v>
      </c>
      <c r="O22" s="18">
        <f t="shared" si="5"/>
        <v>12</v>
      </c>
      <c r="P22" s="28">
        <f t="shared" si="6"/>
        <v>1</v>
      </c>
      <c r="Q22" s="18">
        <f t="shared" si="7"/>
        <v>0</v>
      </c>
      <c r="R22" s="18">
        <f t="shared" si="8"/>
        <v>8</v>
      </c>
      <c r="S22" s="6" t="str">
        <f t="shared" si="9"/>
        <v>holds</v>
      </c>
    </row>
    <row r="23" spans="1:19" x14ac:dyDescent="0.25">
      <c r="A23" s="6" t="s">
        <v>335</v>
      </c>
      <c r="B23" s="18">
        <f t="shared" si="0"/>
        <v>40</v>
      </c>
      <c r="C23" s="33">
        <v>0.15</v>
      </c>
      <c r="D23" s="6" t="s">
        <v>360</v>
      </c>
      <c r="E23" s="18">
        <f>Parameters!$B$16*B23</f>
        <v>10</v>
      </c>
      <c r="F23" s="18">
        <f t="shared" si="1"/>
        <v>6</v>
      </c>
      <c r="G23" s="34">
        <v>0</v>
      </c>
      <c r="H23" s="18">
        <f>G23*Parameters!$C$10*B23</f>
        <v>0</v>
      </c>
      <c r="I23" s="18">
        <f t="shared" si="2"/>
        <v>4</v>
      </c>
      <c r="J23" s="28">
        <f t="shared" si="3"/>
        <v>1</v>
      </c>
      <c r="K23" s="18">
        <f t="shared" si="4"/>
        <v>0</v>
      </c>
      <c r="L23" s="34">
        <v>1</v>
      </c>
      <c r="M23" s="34">
        <v>0</v>
      </c>
      <c r="N23" s="18">
        <f>(L23*Parameters!$C$12*Parameters!$C$14+M23*Parameters!$C$12)*B23</f>
        <v>2.2999999999999998</v>
      </c>
      <c r="O23" s="18">
        <f t="shared" si="5"/>
        <v>4</v>
      </c>
      <c r="P23" s="28">
        <f t="shared" si="6"/>
        <v>1</v>
      </c>
      <c r="Q23" s="18">
        <f t="shared" si="7"/>
        <v>2.2999999999999998</v>
      </c>
      <c r="R23" s="18">
        <f t="shared" si="8"/>
        <v>8.3000000000000007</v>
      </c>
      <c r="S23" s="6" t="str">
        <f t="shared" si="9"/>
        <v>holds</v>
      </c>
    </row>
    <row r="24" spans="1:19" x14ac:dyDescent="0.25">
      <c r="A24" s="6" t="s">
        <v>338</v>
      </c>
      <c r="B24" s="18">
        <f t="shared" si="0"/>
        <v>120</v>
      </c>
      <c r="C24" s="33">
        <v>0.15</v>
      </c>
      <c r="D24" s="6" t="s">
        <v>360</v>
      </c>
      <c r="E24" s="18">
        <f>Parameters!$B$16*B24</f>
        <v>30</v>
      </c>
      <c r="F24" s="18">
        <f t="shared" si="1"/>
        <v>18</v>
      </c>
      <c r="G24" s="34">
        <v>0</v>
      </c>
      <c r="H24" s="18">
        <f>G24*Parameters!$C$10*B24</f>
        <v>0</v>
      </c>
      <c r="I24" s="18">
        <f t="shared" si="2"/>
        <v>12</v>
      </c>
      <c r="J24" s="28">
        <f t="shared" si="3"/>
        <v>1</v>
      </c>
      <c r="K24" s="18">
        <f t="shared" si="4"/>
        <v>0</v>
      </c>
      <c r="L24" s="34">
        <v>1</v>
      </c>
      <c r="M24" s="34">
        <v>0</v>
      </c>
      <c r="N24" s="18">
        <f>(L24*Parameters!$C$12*Parameters!$C$14+M24*Parameters!$C$12)*B24</f>
        <v>6.8999999999999995</v>
      </c>
      <c r="O24" s="18">
        <f t="shared" si="5"/>
        <v>12</v>
      </c>
      <c r="P24" s="28">
        <f t="shared" si="6"/>
        <v>1</v>
      </c>
      <c r="Q24" s="18">
        <f t="shared" si="7"/>
        <v>6.9</v>
      </c>
      <c r="R24" s="18">
        <f t="shared" si="8"/>
        <v>24.9</v>
      </c>
      <c r="S24" s="6" t="str">
        <f t="shared" si="9"/>
        <v>holds</v>
      </c>
    </row>
    <row r="25" spans="1:19" x14ac:dyDescent="0.25">
      <c r="A25" s="6" t="s">
        <v>339</v>
      </c>
      <c r="B25" s="18">
        <f t="shared" si="0"/>
        <v>1200</v>
      </c>
      <c r="C25" s="33">
        <v>0.15</v>
      </c>
      <c r="D25" s="6" t="s">
        <v>361</v>
      </c>
      <c r="E25" s="18">
        <f>Parameters!$B$16*B25</f>
        <v>300</v>
      </c>
      <c r="F25" s="18">
        <f t="shared" si="1"/>
        <v>180</v>
      </c>
      <c r="G25" s="34">
        <v>1</v>
      </c>
      <c r="H25" s="18">
        <f>G25*Parameters!$C$10*B25</f>
        <v>48</v>
      </c>
      <c r="I25" s="18">
        <f t="shared" si="2"/>
        <v>120</v>
      </c>
      <c r="J25" s="28">
        <f t="shared" si="3"/>
        <v>1</v>
      </c>
      <c r="K25" s="18">
        <f t="shared" si="4"/>
        <v>48</v>
      </c>
      <c r="L25" s="34">
        <v>0</v>
      </c>
      <c r="M25" s="34">
        <v>0</v>
      </c>
      <c r="N25" s="18">
        <f>(L25*Parameters!$C$12*Parameters!$C$14+M25*Parameters!$C$12)*B25</f>
        <v>0</v>
      </c>
      <c r="O25" s="18">
        <f t="shared" si="5"/>
        <v>72</v>
      </c>
      <c r="P25" s="28">
        <f t="shared" si="6"/>
        <v>1</v>
      </c>
      <c r="Q25" s="18">
        <f t="shared" si="7"/>
        <v>0</v>
      </c>
      <c r="R25" s="18">
        <f t="shared" si="8"/>
        <v>228</v>
      </c>
      <c r="S25" s="6" t="str">
        <f t="shared" si="9"/>
        <v>holds</v>
      </c>
    </row>
    <row r="26" spans="1:19" x14ac:dyDescent="0.25">
      <c r="A26" s="6" t="s">
        <v>340</v>
      </c>
      <c r="B26" s="18">
        <f t="shared" si="0"/>
        <v>80</v>
      </c>
      <c r="C26" s="33">
        <v>0.15</v>
      </c>
      <c r="D26" s="6" t="s">
        <v>361</v>
      </c>
      <c r="E26" s="18">
        <f>Parameters!$B$16*B26</f>
        <v>20</v>
      </c>
      <c r="F26" s="18">
        <f t="shared" si="1"/>
        <v>12</v>
      </c>
      <c r="G26" s="34">
        <v>1</v>
      </c>
      <c r="H26" s="18">
        <f>G26*Parameters!$C$10*B26</f>
        <v>3.2</v>
      </c>
      <c r="I26" s="18">
        <f t="shared" si="2"/>
        <v>8</v>
      </c>
      <c r="J26" s="28">
        <f t="shared" si="3"/>
        <v>1</v>
      </c>
      <c r="K26" s="18">
        <f t="shared" si="4"/>
        <v>3.2</v>
      </c>
      <c r="L26" s="34">
        <v>0</v>
      </c>
      <c r="M26" s="34">
        <v>1</v>
      </c>
      <c r="N26" s="18">
        <f>(L26*Parameters!$C$12*Parameters!$C$14+M26*Parameters!$C$12)*B26</f>
        <v>4</v>
      </c>
      <c r="O26" s="18">
        <f t="shared" si="5"/>
        <v>4.8</v>
      </c>
      <c r="P26" s="28">
        <f t="shared" si="6"/>
        <v>1</v>
      </c>
      <c r="Q26" s="18">
        <f t="shared" si="7"/>
        <v>4</v>
      </c>
      <c r="R26" s="18">
        <f t="shared" si="8"/>
        <v>19.2</v>
      </c>
      <c r="S26" s="6" t="str">
        <f t="shared" si="9"/>
        <v>holds</v>
      </c>
    </row>
    <row r="27" spans="1:19" x14ac:dyDescent="0.25">
      <c r="A27" s="6" t="s">
        <v>342</v>
      </c>
      <c r="B27" s="18">
        <f t="shared" si="0"/>
        <v>240</v>
      </c>
      <c r="C27" s="33">
        <v>0.05</v>
      </c>
      <c r="D27" s="6" t="s">
        <v>362</v>
      </c>
      <c r="E27" s="18">
        <f>Parameters!$B$16*B27</f>
        <v>60</v>
      </c>
      <c r="F27" s="18">
        <f t="shared" si="1"/>
        <v>12</v>
      </c>
      <c r="G27" s="34">
        <v>0</v>
      </c>
      <c r="H27" s="18">
        <f>G27*Parameters!$C$10*B27</f>
        <v>0</v>
      </c>
      <c r="I27" s="18">
        <f t="shared" si="2"/>
        <v>48</v>
      </c>
      <c r="J27" s="28">
        <f t="shared" si="3"/>
        <v>1</v>
      </c>
      <c r="K27" s="18">
        <f t="shared" si="4"/>
        <v>0</v>
      </c>
      <c r="L27" s="34">
        <v>1</v>
      </c>
      <c r="M27" s="34">
        <v>0</v>
      </c>
      <c r="N27" s="18">
        <f>(L27*Parameters!$C$12*Parameters!$C$14+M27*Parameters!$C$12)*B27</f>
        <v>13.799999999999999</v>
      </c>
      <c r="O27" s="18">
        <f t="shared" si="5"/>
        <v>48</v>
      </c>
      <c r="P27" s="28">
        <f t="shared" si="6"/>
        <v>1</v>
      </c>
      <c r="Q27" s="18">
        <f t="shared" si="7"/>
        <v>13.8</v>
      </c>
      <c r="R27" s="18">
        <f t="shared" si="8"/>
        <v>25.8</v>
      </c>
      <c r="S27" s="6" t="str">
        <f t="shared" si="9"/>
        <v>holds</v>
      </c>
    </row>
    <row r="28" spans="1:19" x14ac:dyDescent="0.25">
      <c r="A28" s="8" t="s">
        <v>343</v>
      </c>
      <c r="B28" s="35">
        <f t="shared" si="0"/>
        <v>40</v>
      </c>
      <c r="C28" s="36">
        <v>0.2</v>
      </c>
      <c r="D28" s="8" t="s">
        <v>363</v>
      </c>
      <c r="E28" s="35">
        <f>Parameters!$B$16*B28</f>
        <v>10</v>
      </c>
      <c r="F28" s="35">
        <f t="shared" si="1"/>
        <v>8</v>
      </c>
      <c r="G28" s="37">
        <v>1</v>
      </c>
      <c r="H28" s="35">
        <f>G28*Parameters!$C$10*B28</f>
        <v>1.6</v>
      </c>
      <c r="I28" s="35">
        <f t="shared" si="2"/>
        <v>2</v>
      </c>
      <c r="J28" s="38">
        <f t="shared" si="3"/>
        <v>1</v>
      </c>
      <c r="K28" s="35">
        <f t="shared" si="4"/>
        <v>1.6</v>
      </c>
      <c r="L28" s="37">
        <v>0</v>
      </c>
      <c r="M28" s="37">
        <v>1</v>
      </c>
      <c r="N28" s="35">
        <f>(L28*Parameters!$C$12*Parameters!$C$14+M28*Parameters!$C$12)*B28</f>
        <v>2</v>
      </c>
      <c r="O28" s="35">
        <f t="shared" si="5"/>
        <v>0.39999999999999991</v>
      </c>
      <c r="P28" s="38">
        <f t="shared" si="6"/>
        <v>0.2</v>
      </c>
      <c r="Q28" s="35">
        <f t="shared" si="7"/>
        <v>0.4</v>
      </c>
      <c r="R28" s="35">
        <f t="shared" si="8"/>
        <v>10</v>
      </c>
      <c r="S28" s="8" t="str">
        <f t="shared" si="9"/>
        <v>holds</v>
      </c>
    </row>
    <row r="29" spans="1:19" x14ac:dyDescent="0.25">
      <c r="A29" s="21" t="s">
        <v>185</v>
      </c>
      <c r="B29" s="22">
        <f>SUM(B19:B28)</f>
        <v>2160</v>
      </c>
      <c r="C29" s="21"/>
      <c r="D29" s="21"/>
      <c r="E29" s="22">
        <f>SUM(E19:E28)</f>
        <v>540</v>
      </c>
      <c r="F29" s="22">
        <f>SUM(F19:F28)</f>
        <v>264</v>
      </c>
      <c r="G29" s="21"/>
      <c r="H29" s="22">
        <f>SUM(H19:H28)</f>
        <v>56.000000000000007</v>
      </c>
      <c r="I29" s="21"/>
      <c r="J29" s="21"/>
      <c r="K29" s="22">
        <f>SUM(K19:K28)</f>
        <v>56.000000000000007</v>
      </c>
      <c r="L29" s="21"/>
      <c r="M29" s="21"/>
      <c r="N29" s="22">
        <f>SUM(N19:N28)</f>
        <v>35.9</v>
      </c>
      <c r="O29" s="21"/>
      <c r="P29" s="21"/>
      <c r="Q29" s="22">
        <f>SUM(Q19:Q28)</f>
        <v>34.300000000000004</v>
      </c>
      <c r="R29" s="22">
        <f>SUM(R19:R28)</f>
        <v>354.29999999999995</v>
      </c>
      <c r="S29" s="21" t="str">
        <f>IF(COUNTIF(S19:S28,"BREACH")=0,"all hold","BREACH")</f>
        <v>all hold</v>
      </c>
    </row>
    <row r="30" spans="1:19" ht="48" x14ac:dyDescent="0.25">
      <c r="A30" s="12" t="s">
        <v>364</v>
      </c>
    </row>
    <row r="32" spans="1:19" ht="15.75" x14ac:dyDescent="0.25">
      <c r="A32" s="32" t="s">
        <v>365</v>
      </c>
    </row>
    <row r="33" spans="1:7" ht="27.95" customHeight="1" x14ac:dyDescent="0.25">
      <c r="A33" s="3" t="s">
        <v>51</v>
      </c>
      <c r="B33" s="3" t="s">
        <v>366</v>
      </c>
      <c r="C33" s="3" t="s">
        <v>203</v>
      </c>
      <c r="D33" s="3" t="s">
        <v>175</v>
      </c>
      <c r="E33" s="3" t="s">
        <v>367</v>
      </c>
      <c r="F33" s="3" t="s">
        <v>368</v>
      </c>
      <c r="G33" s="3" t="s">
        <v>369</v>
      </c>
    </row>
    <row r="34" spans="1:7" x14ac:dyDescent="0.25">
      <c r="A34" s="4" t="s">
        <v>326</v>
      </c>
      <c r="B34" s="4" t="s">
        <v>8</v>
      </c>
      <c r="C34" s="4"/>
      <c r="D34" s="4"/>
      <c r="E34" s="11">
        <v>114</v>
      </c>
      <c r="F34" s="15">
        <f>E34</f>
        <v>114</v>
      </c>
      <c r="G34" s="4" t="s">
        <v>370</v>
      </c>
    </row>
    <row r="35" spans="1:7" x14ac:dyDescent="0.25">
      <c r="A35" s="4" t="s">
        <v>326</v>
      </c>
      <c r="B35" s="4" t="s">
        <v>371</v>
      </c>
      <c r="C35" s="11">
        <v>1400</v>
      </c>
      <c r="D35" s="39">
        <f>Parameters!$C$10</f>
        <v>0.04</v>
      </c>
      <c r="E35" s="15">
        <f>C35*D35</f>
        <v>56</v>
      </c>
      <c r="F35" s="15">
        <f>E35</f>
        <v>56</v>
      </c>
      <c r="G35" s="4" t="s">
        <v>372</v>
      </c>
    </row>
    <row r="36" spans="1:7" ht="25.5" x14ac:dyDescent="0.25">
      <c r="A36" s="4" t="s">
        <v>326</v>
      </c>
      <c r="B36" s="4" t="s">
        <v>373</v>
      </c>
      <c r="C36" s="11">
        <v>520</v>
      </c>
      <c r="D36" s="40">
        <f>Parameters!$C$12*Parameters!$C$14</f>
        <v>5.7499999999999996E-2</v>
      </c>
      <c r="E36" s="15">
        <f>C36*D36</f>
        <v>29.9</v>
      </c>
      <c r="F36" s="15">
        <f>E36</f>
        <v>29.9</v>
      </c>
      <c r="G36" s="4" t="s">
        <v>374</v>
      </c>
    </row>
    <row r="37" spans="1:7" x14ac:dyDescent="0.25">
      <c r="A37" s="4" t="s">
        <v>329</v>
      </c>
      <c r="B37" s="4" t="s">
        <v>8</v>
      </c>
      <c r="C37" s="4"/>
      <c r="D37" s="4"/>
      <c r="E37" s="11">
        <v>16</v>
      </c>
      <c r="F37" s="15">
        <f>E37</f>
        <v>16</v>
      </c>
      <c r="G37" s="4" t="s">
        <v>375</v>
      </c>
    </row>
    <row r="38" spans="1:7" x14ac:dyDescent="0.25">
      <c r="A38" s="4" t="s">
        <v>331</v>
      </c>
      <c r="B38" s="4" t="s">
        <v>8</v>
      </c>
      <c r="C38" s="4"/>
      <c r="D38" s="4"/>
      <c r="E38" s="11">
        <v>130</v>
      </c>
      <c r="F38" s="15">
        <f>E38</f>
        <v>130</v>
      </c>
      <c r="G38" s="4" t="s">
        <v>376</v>
      </c>
    </row>
    <row r="39" spans="1:7" ht="25.5" x14ac:dyDescent="0.25">
      <c r="A39" s="41" t="s">
        <v>331</v>
      </c>
      <c r="B39" s="41" t="s">
        <v>373</v>
      </c>
      <c r="C39" s="42">
        <v>120</v>
      </c>
      <c r="D39" s="43">
        <f>Parameters!$C$12</f>
        <v>0.05</v>
      </c>
      <c r="E39" s="44">
        <f>C39*D39</f>
        <v>6</v>
      </c>
      <c r="F39" s="44">
        <f>ROUNDDOWN(Q26+Q28,2)</f>
        <v>4.4000000000000004</v>
      </c>
      <c r="G39" s="41" t="s">
        <v>377</v>
      </c>
    </row>
    <row r="40" spans="1:7" x14ac:dyDescent="0.25">
      <c r="A40" s="4" t="s">
        <v>340</v>
      </c>
      <c r="B40" s="4" t="s">
        <v>8</v>
      </c>
      <c r="C40" s="4"/>
      <c r="D40" s="4"/>
      <c r="E40" s="11">
        <v>4</v>
      </c>
      <c r="F40" s="15">
        <f>E40</f>
        <v>4</v>
      </c>
      <c r="G40" s="4" t="s">
        <v>378</v>
      </c>
    </row>
    <row r="41" spans="1:7" x14ac:dyDescent="0.25">
      <c r="A41" s="4" t="s">
        <v>379</v>
      </c>
      <c r="B41" s="4" t="s">
        <v>380</v>
      </c>
      <c r="C41" s="4"/>
      <c r="D41" s="4"/>
      <c r="E41" s="15">
        <v>0</v>
      </c>
      <c r="F41" s="15">
        <v>0</v>
      </c>
      <c r="G41" s="4" t="s">
        <v>381</v>
      </c>
    </row>
    <row r="42" spans="1:7" x14ac:dyDescent="0.25">
      <c r="A42" s="21" t="s">
        <v>382</v>
      </c>
      <c r="B42" s="21" t="s">
        <v>383</v>
      </c>
      <c r="C42" s="21"/>
      <c r="D42" s="21"/>
      <c r="E42" s="22">
        <f>SUM(E34:E41)</f>
        <v>355.9</v>
      </c>
      <c r="F42" s="22">
        <f>SUM(F34:F41)</f>
        <v>354.29999999999995</v>
      </c>
      <c r="G42" s="21" t="s">
        <v>384</v>
      </c>
    </row>
    <row r="44" spans="1:7" ht="27.95" customHeight="1" x14ac:dyDescent="0.25">
      <c r="A44" s="3" t="s">
        <v>385</v>
      </c>
      <c r="B44" s="3" t="s">
        <v>142</v>
      </c>
      <c r="C44" s="3" t="s">
        <v>386</v>
      </c>
    </row>
    <row r="45" spans="1:7" x14ac:dyDescent="0.25">
      <c r="A45" s="6" t="s">
        <v>387</v>
      </c>
      <c r="B45" s="18">
        <f>F42</f>
        <v>354.29999999999995</v>
      </c>
      <c r="C45" s="6" t="s">
        <v>388</v>
      </c>
    </row>
    <row r="46" spans="1:7" x14ac:dyDescent="0.25">
      <c r="A46" s="6" t="s">
        <v>389</v>
      </c>
      <c r="B46" s="18">
        <f>R29</f>
        <v>354.29999999999995</v>
      </c>
      <c r="C46" s="6" t="s">
        <v>390</v>
      </c>
    </row>
    <row r="47" spans="1:7" x14ac:dyDescent="0.25">
      <c r="A47" s="24" t="s">
        <v>391</v>
      </c>
      <c r="B47" s="45">
        <f>F42-R29</f>
        <v>0</v>
      </c>
      <c r="C47" s="24" t="s">
        <v>392</v>
      </c>
    </row>
    <row r="48" spans="1:7" x14ac:dyDescent="0.25">
      <c r="A48" s="6" t="s">
        <v>393</v>
      </c>
      <c r="B48" s="18">
        <f>E42-F42</f>
        <v>1.6000000000000227</v>
      </c>
      <c r="C48" s="6" t="s">
        <v>394</v>
      </c>
    </row>
    <row r="49" spans="1:3" x14ac:dyDescent="0.25">
      <c r="A49" s="6" t="s">
        <v>395</v>
      </c>
      <c r="B49" s="46">
        <f>F42/C15</f>
        <v>0.16402777777777774</v>
      </c>
      <c r="C49" s="6" t="s">
        <v>396</v>
      </c>
    </row>
    <row r="50" spans="1:3" x14ac:dyDescent="0.25">
      <c r="A50" s="6" t="s">
        <v>397</v>
      </c>
      <c r="B50" s="33">
        <v>0.1222</v>
      </c>
      <c r="C50" s="6" t="s">
        <v>398</v>
      </c>
    </row>
    <row r="51" spans="1:3" x14ac:dyDescent="0.25">
      <c r="A51" s="24" t="s">
        <v>399</v>
      </c>
      <c r="B51" s="24" t="str">
        <f>IF(COUNTIF(S19:S28,"BREACH")=0,"yes","NO")</f>
        <v>yes</v>
      </c>
      <c r="C51" s="24" t="s">
        <v>129</v>
      </c>
    </row>
  </sheetData>
  <pageMargins left="0.3" right="0.3" top="0.4" bottom="0.4" header="0.5" footer="0.5"/>
  <pageSetup scale="35" fitToHeight="0" orientation="landscape" r:id="rId1"/>
  <headerFooter>
    <oddFooter>&amp;C&amp;A  -  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23"/>
  <sheetViews>
    <sheetView showGridLines="0" workbookViewId="0">
      <pane ySplit="1" topLeftCell="A2" activePane="bottomLeft" state="frozen"/>
      <selection pane="bottomLeft"/>
    </sheetView>
  </sheetViews>
  <sheetFormatPr defaultRowHeight="15" x14ac:dyDescent="0.25"/>
  <cols>
    <col min="1" max="1" width="46" customWidth="1"/>
    <col min="2" max="2" width="20" customWidth="1"/>
    <col min="3" max="3" width="54" customWidth="1"/>
  </cols>
  <sheetData>
    <row r="1" spans="1:3" ht="19.5" x14ac:dyDescent="0.3">
      <c r="A1" s="1" t="s">
        <v>400</v>
      </c>
    </row>
    <row r="2" spans="1:3" x14ac:dyDescent="0.25">
      <c r="A2" s="2" t="s">
        <v>401</v>
      </c>
    </row>
    <row r="4" spans="1:3" ht="27.95" customHeight="1" x14ac:dyDescent="0.25">
      <c r="A4" s="3" t="s">
        <v>402</v>
      </c>
      <c r="B4" s="3" t="s">
        <v>142</v>
      </c>
    </row>
    <row r="5" spans="1:3" x14ac:dyDescent="0.25">
      <c r="A5" s="6" t="s">
        <v>403</v>
      </c>
      <c r="B5" s="47">
        <v>100</v>
      </c>
    </row>
    <row r="7" spans="1:3" ht="27.95" customHeight="1" x14ac:dyDescent="0.25">
      <c r="A7" s="3" t="s">
        <v>404</v>
      </c>
      <c r="B7" s="3" t="s">
        <v>142</v>
      </c>
      <c r="C7" s="3" t="s">
        <v>307</v>
      </c>
    </row>
    <row r="8" spans="1:3" x14ac:dyDescent="0.25">
      <c r="A8" s="6" t="s">
        <v>405</v>
      </c>
      <c r="B8" s="48">
        <f>B5</f>
        <v>100</v>
      </c>
      <c r="C8" s="6" t="s">
        <v>406</v>
      </c>
    </row>
    <row r="9" spans="1:3" x14ac:dyDescent="0.25">
      <c r="A9" s="6" t="s">
        <v>407</v>
      </c>
      <c r="B9" s="48">
        <f>B5</f>
        <v>100</v>
      </c>
      <c r="C9" s="6" t="s">
        <v>408</v>
      </c>
    </row>
    <row r="10" spans="1:3" x14ac:dyDescent="0.25">
      <c r="A10" s="6" t="s">
        <v>409</v>
      </c>
      <c r="B10" s="18">
        <f>ROUND(B5*Parameters!$B$18,2)</f>
        <v>80</v>
      </c>
      <c r="C10" s="6" t="s">
        <v>410</v>
      </c>
    </row>
    <row r="11" spans="1:3" x14ac:dyDescent="0.25">
      <c r="A11" s="6" t="s">
        <v>411</v>
      </c>
      <c r="B11" s="6" t="str">
        <f>IF(B5&gt;=Parameters!$B$17,"yes","no, needs 100.00 SV")</f>
        <v>yes</v>
      </c>
      <c r="C11" s="6" t="s">
        <v>412</v>
      </c>
    </row>
    <row r="12" spans="1:3" x14ac:dyDescent="0.25">
      <c r="A12" s="21" t="s">
        <v>413</v>
      </c>
      <c r="B12" s="22">
        <f>Parameters!$B$16*B10</f>
        <v>20</v>
      </c>
      <c r="C12" s="21" t="s">
        <v>414</v>
      </c>
    </row>
    <row r="13" spans="1:3" x14ac:dyDescent="0.25">
      <c r="A13" s="6" t="s">
        <v>415</v>
      </c>
      <c r="B13" s="23">
        <f>B12/B5</f>
        <v>0.2</v>
      </c>
      <c r="C13" s="6" t="s">
        <v>416</v>
      </c>
    </row>
    <row r="14" spans="1:3" x14ac:dyDescent="0.25">
      <c r="A14" s="6" t="s">
        <v>417</v>
      </c>
      <c r="B14" s="18">
        <f>B10*SUM(Parameters!$B$5:$B$9)</f>
        <v>20</v>
      </c>
      <c r="C14" s="6" t="s">
        <v>418</v>
      </c>
    </row>
    <row r="15" spans="1:3" x14ac:dyDescent="0.25">
      <c r="A15" s="6" t="s">
        <v>419</v>
      </c>
      <c r="B15" s="18">
        <f>B12-B14</f>
        <v>0</v>
      </c>
      <c r="C15" s="6" t="s">
        <v>420</v>
      </c>
    </row>
    <row r="17" spans="1:3" ht="27.95" customHeight="1" x14ac:dyDescent="0.25">
      <c r="A17" s="3" t="s">
        <v>421</v>
      </c>
      <c r="B17" s="3" t="s">
        <v>281</v>
      </c>
      <c r="C17" s="3" t="s">
        <v>422</v>
      </c>
    </row>
    <row r="18" spans="1:3" x14ac:dyDescent="0.25">
      <c r="A18" s="6" t="s">
        <v>423</v>
      </c>
      <c r="B18" s="18">
        <f>B10*0.25</f>
        <v>20</v>
      </c>
      <c r="C18" s="18">
        <f>B12-B18</f>
        <v>0</v>
      </c>
    </row>
    <row r="19" spans="1:3" x14ac:dyDescent="0.25">
      <c r="A19" s="6" t="s">
        <v>424</v>
      </c>
      <c r="B19" s="18">
        <f>B10*0.2</f>
        <v>16</v>
      </c>
      <c r="C19" s="18">
        <f>B12-B19</f>
        <v>4</v>
      </c>
    </row>
    <row r="20" spans="1:3" x14ac:dyDescent="0.25">
      <c r="A20" s="6" t="s">
        <v>425</v>
      </c>
      <c r="B20" s="18">
        <f>B10*0.15</f>
        <v>12</v>
      </c>
      <c r="C20" s="18">
        <f>B12-B20</f>
        <v>8</v>
      </c>
    </row>
    <row r="21" spans="1:3" x14ac:dyDescent="0.25">
      <c r="A21" s="6" t="s">
        <v>127</v>
      </c>
      <c r="B21" s="18">
        <f>B10*0.1</f>
        <v>8</v>
      </c>
      <c r="C21" s="18">
        <f>B12-B21</f>
        <v>12</v>
      </c>
    </row>
    <row r="22" spans="1:3" x14ac:dyDescent="0.25">
      <c r="A22" s="6" t="s">
        <v>426</v>
      </c>
      <c r="B22" s="18">
        <f>B10*0</f>
        <v>0</v>
      </c>
      <c r="C22" s="18">
        <f>B12-B22</f>
        <v>20</v>
      </c>
    </row>
    <row r="23" spans="1:3" ht="48" x14ac:dyDescent="0.25">
      <c r="A23" s="12" t="s">
        <v>427</v>
      </c>
    </row>
  </sheetData>
  <pageMargins left="0.3" right="0.3" top="0.4" bottom="0.4" header="0.5" footer="0.5"/>
  <pageSetup fitToHeight="0" orientation="landscape" r:id="rId1"/>
  <headerFooter>
    <oddFooter>&amp;C&amp;A  -  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2"/>
  <sheetViews>
    <sheetView showGridLines="0" workbookViewId="0">
      <pane ySplit="1" topLeftCell="A2" activePane="bottomLeft" state="frozen"/>
      <selection pane="bottomLeft"/>
    </sheetView>
  </sheetViews>
  <sheetFormatPr defaultRowHeight="15" x14ac:dyDescent="0.25"/>
  <cols>
    <col min="1" max="1" width="52" customWidth="1"/>
    <col min="2" max="2" width="20" customWidth="1"/>
    <col min="3" max="3" width="16" customWidth="1"/>
    <col min="4" max="4" width="14" customWidth="1"/>
    <col min="5" max="5" width="13" customWidth="1"/>
    <col min="6" max="6" width="14" customWidth="1"/>
  </cols>
  <sheetData>
    <row r="1" spans="1:4" ht="19.5" x14ac:dyDescent="0.3">
      <c r="A1" s="1" t="s">
        <v>428</v>
      </c>
    </row>
    <row r="2" spans="1:4" x14ac:dyDescent="0.25">
      <c r="A2" s="2" t="s">
        <v>429</v>
      </c>
    </row>
    <row r="4" spans="1:4" ht="27.95" customHeight="1" x14ac:dyDescent="0.25">
      <c r="A4" s="3" t="s">
        <v>430</v>
      </c>
      <c r="B4" s="3" t="s">
        <v>395</v>
      </c>
      <c r="C4" s="3" t="s">
        <v>431</v>
      </c>
    </row>
    <row r="5" spans="1:4" x14ac:dyDescent="0.25">
      <c r="A5" s="6" t="s">
        <v>432</v>
      </c>
      <c r="B5" s="49">
        <v>0.18559400000000001</v>
      </c>
      <c r="C5" s="46">
        <f t="shared" ref="C5:C10" si="0">0.25-B5</f>
        <v>6.4405999999999991E-2</v>
      </c>
    </row>
    <row r="6" spans="1:4" x14ac:dyDescent="0.25">
      <c r="A6" s="6" t="s">
        <v>433</v>
      </c>
      <c r="B6" s="49">
        <v>0.18939900000000001</v>
      </c>
      <c r="C6" s="46">
        <f t="shared" si="0"/>
        <v>6.0600999999999988E-2</v>
      </c>
    </row>
    <row r="7" spans="1:4" x14ac:dyDescent="0.25">
      <c r="A7" s="6" t="s">
        <v>434</v>
      </c>
      <c r="B7" s="49">
        <v>0.19122400000000001</v>
      </c>
      <c r="C7" s="46">
        <f t="shared" si="0"/>
        <v>5.8775999999999995E-2</v>
      </c>
    </row>
    <row r="8" spans="1:4" x14ac:dyDescent="0.25">
      <c r="A8" s="6" t="s">
        <v>435</v>
      </c>
      <c r="B8" s="49">
        <v>0.194412</v>
      </c>
      <c r="C8" s="46">
        <f t="shared" si="0"/>
        <v>5.5587999999999999E-2</v>
      </c>
    </row>
    <row r="9" spans="1:4" x14ac:dyDescent="0.25">
      <c r="A9" s="6" t="s">
        <v>436</v>
      </c>
      <c r="B9" s="49">
        <v>0.195434</v>
      </c>
      <c r="C9" s="46">
        <f t="shared" si="0"/>
        <v>5.4566000000000003E-2</v>
      </c>
    </row>
    <row r="10" spans="1:4" x14ac:dyDescent="0.25">
      <c r="A10" s="6" t="s">
        <v>437</v>
      </c>
      <c r="B10" s="49">
        <v>0.19681199999999999</v>
      </c>
      <c r="C10" s="46">
        <f t="shared" si="0"/>
        <v>5.3188000000000013E-2</v>
      </c>
    </row>
    <row r="11" spans="1:4" x14ac:dyDescent="0.25">
      <c r="A11" s="21" t="s">
        <v>438</v>
      </c>
      <c r="B11" s="50">
        <f>B10-B5</f>
        <v>1.1217999999999978E-2</v>
      </c>
      <c r="C11" s="21" t="s">
        <v>439</v>
      </c>
    </row>
    <row r="12" spans="1:4" x14ac:dyDescent="0.25">
      <c r="A12" s="6" t="s">
        <v>440</v>
      </c>
      <c r="B12" s="49">
        <v>0.14608499999999999</v>
      </c>
      <c r="C12" s="6" t="s">
        <v>441</v>
      </c>
    </row>
    <row r="13" spans="1:4" x14ac:dyDescent="0.25">
      <c r="A13" s="6" t="s">
        <v>442</v>
      </c>
      <c r="B13" s="49">
        <v>0.25</v>
      </c>
      <c r="C13" s="6" t="s">
        <v>443</v>
      </c>
    </row>
    <row r="14" spans="1:4" ht="48" x14ac:dyDescent="0.25">
      <c r="A14" s="12" t="s">
        <v>444</v>
      </c>
    </row>
    <row r="16" spans="1:4" ht="27.95" customHeight="1" x14ac:dyDescent="0.25">
      <c r="A16" s="3" t="s">
        <v>445</v>
      </c>
      <c r="B16" s="3" t="s">
        <v>446</v>
      </c>
      <c r="C16" s="3" t="s">
        <v>447</v>
      </c>
      <c r="D16" s="3" t="s">
        <v>448</v>
      </c>
    </row>
    <row r="17" spans="1:4" x14ac:dyDescent="0.25">
      <c r="A17" s="6" t="s">
        <v>449</v>
      </c>
      <c r="B17" s="51">
        <v>154</v>
      </c>
      <c r="C17" s="51">
        <v>641</v>
      </c>
      <c r="D17" s="23">
        <f>B17/C17</f>
        <v>0.24024960998439937</v>
      </c>
    </row>
    <row r="18" spans="1:4" x14ac:dyDescent="0.25">
      <c r="A18" s="6" t="s">
        <v>450</v>
      </c>
      <c r="B18" s="51">
        <v>120</v>
      </c>
      <c r="C18" s="51">
        <v>641</v>
      </c>
      <c r="D18" s="23">
        <f>B18/C18</f>
        <v>0.18720748829953199</v>
      </c>
    </row>
    <row r="19" spans="1:4" x14ac:dyDescent="0.25">
      <c r="A19" s="6" t="s">
        <v>451</v>
      </c>
      <c r="B19" s="51">
        <v>83</v>
      </c>
      <c r="C19" s="51">
        <v>641</v>
      </c>
      <c r="D19" s="23">
        <f>B19/C19</f>
        <v>0.1294851794071763</v>
      </c>
    </row>
    <row r="20" spans="1:4" x14ac:dyDescent="0.25">
      <c r="A20" s="6" t="s">
        <v>452</v>
      </c>
      <c r="B20" s="51">
        <v>34</v>
      </c>
      <c r="C20" s="51">
        <v>641</v>
      </c>
      <c r="D20" s="23">
        <f>B20/C20</f>
        <v>5.3042121684867397E-2</v>
      </c>
    </row>
    <row r="21" spans="1:4" x14ac:dyDescent="0.25">
      <c r="A21" s="6" t="s">
        <v>453</v>
      </c>
      <c r="B21" s="51">
        <v>35</v>
      </c>
      <c r="C21" s="51">
        <v>207</v>
      </c>
      <c r="D21" s="23">
        <f>B21/C21</f>
        <v>0.16908212560386474</v>
      </c>
    </row>
    <row r="22" spans="1:4" ht="48" x14ac:dyDescent="0.25">
      <c r="A22" s="12" t="s">
        <v>454</v>
      </c>
    </row>
    <row r="24" spans="1:4" ht="27.95" customHeight="1" x14ac:dyDescent="0.25">
      <c r="A24" s="3" t="s">
        <v>455</v>
      </c>
      <c r="B24" s="3" t="s">
        <v>142</v>
      </c>
    </row>
    <row r="25" spans="1:4" x14ac:dyDescent="0.25">
      <c r="A25" s="6" t="s">
        <v>456</v>
      </c>
      <c r="B25" s="47">
        <v>638</v>
      </c>
    </row>
    <row r="26" spans="1:4" x14ac:dyDescent="0.25">
      <c r="A26" s="6" t="s">
        <v>457</v>
      </c>
      <c r="B26" s="47">
        <v>305.68</v>
      </c>
    </row>
    <row r="27" spans="1:4" x14ac:dyDescent="0.25">
      <c r="A27" s="24" t="s">
        <v>458</v>
      </c>
      <c r="B27" s="45">
        <f>B25+B26</f>
        <v>943.68000000000006</v>
      </c>
    </row>
    <row r="28" spans="1:4" x14ac:dyDescent="0.25">
      <c r="A28" s="6" t="s">
        <v>459</v>
      </c>
      <c r="B28" s="47">
        <v>17417.12</v>
      </c>
    </row>
    <row r="29" spans="1:4" x14ac:dyDescent="0.25">
      <c r="A29" s="24" t="s">
        <v>460</v>
      </c>
      <c r="B29" s="25">
        <f>B27/B28</f>
        <v>5.4181173466106916E-2</v>
      </c>
    </row>
    <row r="30" spans="1:4" x14ac:dyDescent="0.25">
      <c r="A30" s="6" t="s">
        <v>461</v>
      </c>
      <c r="B30" s="47">
        <v>324.14</v>
      </c>
    </row>
    <row r="31" spans="1:4" x14ac:dyDescent="0.25">
      <c r="A31" s="6" t="s">
        <v>462</v>
      </c>
      <c r="B31" s="33">
        <v>0.34499999999999997</v>
      </c>
    </row>
    <row r="32" spans="1:4" x14ac:dyDescent="0.25">
      <c r="A32" s="6" t="s">
        <v>463</v>
      </c>
      <c r="B32" s="51">
        <v>5</v>
      </c>
    </row>
    <row r="33" spans="1:6" ht="36" x14ac:dyDescent="0.25">
      <c r="A33" s="12" t="s">
        <v>464</v>
      </c>
    </row>
    <row r="35" spans="1:6" ht="27.95" customHeight="1" x14ac:dyDescent="0.25">
      <c r="A35" s="3" t="s">
        <v>465</v>
      </c>
      <c r="B35" s="3" t="s">
        <v>466</v>
      </c>
      <c r="C35" s="3" t="s">
        <v>467</v>
      </c>
      <c r="D35" s="3" t="s">
        <v>468</v>
      </c>
      <c r="E35" s="3" t="s">
        <v>469</v>
      </c>
      <c r="F35" s="3" t="s">
        <v>470</v>
      </c>
    </row>
    <row r="36" spans="1:6" x14ac:dyDescent="0.25">
      <c r="A36" s="6" t="s">
        <v>471</v>
      </c>
      <c r="B36" s="47">
        <v>52.47</v>
      </c>
      <c r="C36" s="47">
        <v>6.66</v>
      </c>
      <c r="D36" s="52">
        <f>B36/C36</f>
        <v>7.8783783783783781</v>
      </c>
      <c r="E36" s="34">
        <v>8</v>
      </c>
      <c r="F36" s="51">
        <v>141</v>
      </c>
    </row>
    <row r="37" spans="1:6" x14ac:dyDescent="0.25">
      <c r="A37" s="6" t="s">
        <v>472</v>
      </c>
      <c r="B37" s="47">
        <v>725.57</v>
      </c>
      <c r="C37" s="47">
        <v>7.9</v>
      </c>
      <c r="D37" s="52">
        <f>B37/C37</f>
        <v>91.844303797468356</v>
      </c>
      <c r="E37" s="34">
        <v>8</v>
      </c>
      <c r="F37" s="51">
        <v>186</v>
      </c>
    </row>
    <row r="38" spans="1:6" x14ac:dyDescent="0.25">
      <c r="A38" s="6" t="s">
        <v>473</v>
      </c>
      <c r="B38" s="47">
        <v>955.31</v>
      </c>
      <c r="C38" s="47">
        <v>11.77</v>
      </c>
      <c r="D38" s="52">
        <f>B38/C38</f>
        <v>81.164825828377232</v>
      </c>
      <c r="E38" s="34">
        <v>8</v>
      </c>
      <c r="F38" s="51">
        <v>97</v>
      </c>
    </row>
    <row r="39" spans="1:6" ht="36" x14ac:dyDescent="0.25">
      <c r="A39" s="12" t="s">
        <v>474</v>
      </c>
    </row>
    <row r="41" spans="1:6" ht="27.95" customHeight="1" x14ac:dyDescent="0.25">
      <c r="A41" s="3" t="s">
        <v>475</v>
      </c>
      <c r="B41" s="3" t="s">
        <v>142</v>
      </c>
    </row>
    <row r="42" spans="1:6" x14ac:dyDescent="0.25">
      <c r="A42" s="6" t="s">
        <v>476</v>
      </c>
      <c r="B42" s="51">
        <v>34</v>
      </c>
    </row>
    <row r="43" spans="1:6" x14ac:dyDescent="0.25">
      <c r="A43" s="6" t="s">
        <v>477</v>
      </c>
      <c r="B43" s="51">
        <v>24</v>
      </c>
    </row>
    <row r="44" spans="1:6" x14ac:dyDescent="0.25">
      <c r="A44" s="6" t="s">
        <v>478</v>
      </c>
      <c r="B44" s="51">
        <v>44</v>
      </c>
    </row>
    <row r="45" spans="1:6" x14ac:dyDescent="0.25">
      <c r="A45" s="6" t="s">
        <v>479</v>
      </c>
      <c r="B45" s="33">
        <v>0.90200000000000002</v>
      </c>
    </row>
    <row r="46" spans="1:6" x14ac:dyDescent="0.25">
      <c r="A46" s="6" t="s">
        <v>480</v>
      </c>
      <c r="B46" s="33">
        <v>0.22900000000000001</v>
      </c>
    </row>
    <row r="47" spans="1:6" x14ac:dyDescent="0.25">
      <c r="A47" s="6" t="s">
        <v>481</v>
      </c>
      <c r="B47" s="51">
        <v>207</v>
      </c>
    </row>
    <row r="48" spans="1:6" x14ac:dyDescent="0.25">
      <c r="A48" s="6" t="s">
        <v>482</v>
      </c>
      <c r="B48" s="51">
        <v>206</v>
      </c>
    </row>
    <row r="49" spans="1:2" x14ac:dyDescent="0.25">
      <c r="A49" s="6" t="s">
        <v>483</v>
      </c>
      <c r="B49" s="51">
        <v>448</v>
      </c>
    </row>
    <row r="50" spans="1:2" ht="24" x14ac:dyDescent="0.25">
      <c r="A50" s="12" t="s">
        <v>484</v>
      </c>
    </row>
    <row r="52" spans="1:2" ht="72" x14ac:dyDescent="0.25">
      <c r="A52" s="12" t="s">
        <v>485</v>
      </c>
    </row>
  </sheetData>
  <pageMargins left="0.3" right="0.3" top="0.4" bottom="0.4" header="0.5" footer="0.5"/>
  <pageSetup fitToHeight="0" orientation="landscape" r:id="rId1"/>
  <headerFooter>
    <oddFooter>&amp;C&amp;A  -  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24"/>
  <sheetViews>
    <sheetView showGridLines="0" workbookViewId="0">
      <pane ySplit="1" topLeftCell="A2" activePane="bottomLeft" state="frozen"/>
      <selection pane="bottomLeft"/>
    </sheetView>
  </sheetViews>
  <sheetFormatPr defaultRowHeight="15" x14ac:dyDescent="0.25"/>
  <cols>
    <col min="1" max="1" width="46" customWidth="1"/>
    <col min="2" max="2" width="80" customWidth="1"/>
    <col min="3" max="3" width="64" customWidth="1"/>
    <col min="4" max="4" width="18" customWidth="1"/>
    <col min="5" max="5" width="40" customWidth="1"/>
  </cols>
  <sheetData>
    <row r="1" spans="1:5" ht="19.5" x14ac:dyDescent="0.3">
      <c r="A1" s="1" t="s">
        <v>486</v>
      </c>
    </row>
    <row r="2" spans="1:5" x14ac:dyDescent="0.25">
      <c r="A2" s="2" t="s">
        <v>487</v>
      </c>
    </row>
    <row r="4" spans="1:5" ht="27.95" customHeight="1" x14ac:dyDescent="0.25">
      <c r="A4" s="3" t="s">
        <v>488</v>
      </c>
      <c r="B4" s="3" t="s">
        <v>489</v>
      </c>
      <c r="C4" s="3" t="s">
        <v>490</v>
      </c>
      <c r="D4" s="3" t="s">
        <v>491</v>
      </c>
      <c r="E4" s="3" t="s">
        <v>492</v>
      </c>
    </row>
    <row r="5" spans="1:5" ht="38.25" x14ac:dyDescent="0.25">
      <c r="A5" s="4" t="s">
        <v>493</v>
      </c>
      <c r="B5" s="11">
        <v>300</v>
      </c>
      <c r="C5" s="11">
        <v>21.2</v>
      </c>
      <c r="D5" s="15">
        <f>C5/B5</f>
        <v>7.0666666666666669E-2</v>
      </c>
      <c r="E5" s="4" t="s">
        <v>494</v>
      </c>
    </row>
    <row r="6" spans="1:5" ht="25.5" x14ac:dyDescent="0.25">
      <c r="A6" s="4" t="s">
        <v>495</v>
      </c>
      <c r="B6" s="11">
        <v>100</v>
      </c>
      <c r="C6" s="11">
        <v>2</v>
      </c>
      <c r="D6" s="15">
        <f>C6/B6</f>
        <v>0.02</v>
      </c>
      <c r="E6" s="4" t="s">
        <v>496</v>
      </c>
    </row>
    <row r="7" spans="1:5" ht="38.25" x14ac:dyDescent="0.25">
      <c r="A7" s="4" t="s">
        <v>497</v>
      </c>
      <c r="B7" s="4"/>
      <c r="C7" s="4"/>
      <c r="D7" s="4"/>
      <c r="E7" s="4" t="s">
        <v>498</v>
      </c>
    </row>
    <row r="8" spans="1:5" ht="25.5" x14ac:dyDescent="0.25">
      <c r="A8" s="4" t="s">
        <v>499</v>
      </c>
      <c r="B8" s="4"/>
      <c r="C8" s="4"/>
      <c r="D8" s="4"/>
      <c r="E8" s="4" t="s">
        <v>500</v>
      </c>
    </row>
    <row r="9" spans="1:5" ht="38.25" x14ac:dyDescent="0.25">
      <c r="A9" s="4" t="s">
        <v>501</v>
      </c>
      <c r="B9" s="4"/>
      <c r="C9" s="4"/>
      <c r="D9" s="4"/>
      <c r="E9" s="4" t="s">
        <v>502</v>
      </c>
    </row>
    <row r="10" spans="1:5" ht="25.5" x14ac:dyDescent="0.25">
      <c r="A10" s="4" t="s">
        <v>503</v>
      </c>
      <c r="B10" s="4"/>
      <c r="C10" s="4"/>
      <c r="D10" s="4"/>
      <c r="E10" s="4" t="s">
        <v>504</v>
      </c>
    </row>
    <row r="11" spans="1:5" ht="25.5" x14ac:dyDescent="0.25">
      <c r="A11" s="4" t="s">
        <v>505</v>
      </c>
      <c r="B11" s="4"/>
      <c r="C11" s="4"/>
      <c r="D11" s="4"/>
      <c r="E11" s="4" t="s">
        <v>506</v>
      </c>
    </row>
    <row r="12" spans="1:5" ht="38.25" x14ac:dyDescent="0.25">
      <c r="A12" s="4" t="s">
        <v>507</v>
      </c>
      <c r="B12" s="4"/>
      <c r="C12" s="4"/>
      <c r="D12" s="4"/>
      <c r="E12" s="4" t="s">
        <v>508</v>
      </c>
    </row>
    <row r="14" spans="1:5" ht="27.95" customHeight="1" x14ac:dyDescent="0.25">
      <c r="A14" s="3" t="s">
        <v>509</v>
      </c>
      <c r="B14" s="3" t="s">
        <v>142</v>
      </c>
      <c r="C14" s="3" t="s">
        <v>510</v>
      </c>
    </row>
    <row r="15" spans="1:5" ht="38.25" x14ac:dyDescent="0.25">
      <c r="A15" s="4" t="s">
        <v>511</v>
      </c>
      <c r="B15" s="53">
        <v>0.2</v>
      </c>
      <c r="C15" s="4" t="s">
        <v>512</v>
      </c>
    </row>
    <row r="17" spans="1:2" ht="15.75" x14ac:dyDescent="0.25">
      <c r="A17" s="32" t="s">
        <v>513</v>
      </c>
    </row>
    <row r="18" spans="1:2" ht="27.95" customHeight="1" x14ac:dyDescent="0.25">
      <c r="A18" s="3" t="s">
        <v>514</v>
      </c>
      <c r="B18" s="3" t="s">
        <v>229</v>
      </c>
    </row>
    <row r="19" spans="1:2" ht="38.25" x14ac:dyDescent="0.25">
      <c r="A19" s="4" t="s">
        <v>515</v>
      </c>
      <c r="B19" s="4" t="s">
        <v>516</v>
      </c>
    </row>
    <row r="20" spans="1:2" ht="25.5" x14ac:dyDescent="0.25">
      <c r="A20" s="4" t="s">
        <v>517</v>
      </c>
      <c r="B20" s="4" t="s">
        <v>518</v>
      </c>
    </row>
    <row r="21" spans="1:2" ht="25.5" x14ac:dyDescent="0.25">
      <c r="A21" s="4" t="s">
        <v>519</v>
      </c>
      <c r="B21" s="4" t="s">
        <v>520</v>
      </c>
    </row>
    <row r="22" spans="1:2" ht="25.5" x14ac:dyDescent="0.25">
      <c r="A22" s="4" t="s">
        <v>521</v>
      </c>
      <c r="B22" s="4" t="s">
        <v>522</v>
      </c>
    </row>
    <row r="23" spans="1:2" ht="25.5" x14ac:dyDescent="0.25">
      <c r="A23" s="4" t="s">
        <v>523</v>
      </c>
      <c r="B23" s="4" t="s">
        <v>524</v>
      </c>
    </row>
    <row r="24" spans="1:2" ht="25.5" x14ac:dyDescent="0.25">
      <c r="A24" s="4" t="s">
        <v>525</v>
      </c>
      <c r="B24" s="4" t="s">
        <v>526</v>
      </c>
    </row>
  </sheetData>
  <pageMargins left="0.3" right="0.3" top="0.4" bottom="0.4" header="0.5" footer="0.5"/>
  <pageSetup scale="52" fitToHeight="0" orientation="landscape" r:id="rId1"/>
  <headerFooter>
    <oddFooter>&amp;C&amp;A  -  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13"/>
  <sheetViews>
    <sheetView showGridLines="0" workbookViewId="0">
      <pane ySplit="1" topLeftCell="A2" activePane="bottomLeft" state="frozen"/>
      <selection pane="bottomLeft"/>
    </sheetView>
  </sheetViews>
  <sheetFormatPr defaultRowHeight="15" x14ac:dyDescent="0.25"/>
  <cols>
    <col min="1" max="1" width="13" customWidth="1"/>
    <col min="2" max="2" width="46" customWidth="1"/>
    <col min="3" max="3" width="34" customWidth="1"/>
    <col min="4" max="4" width="48" customWidth="1"/>
  </cols>
  <sheetData>
    <row r="1" spans="1:4" ht="19.5" x14ac:dyDescent="0.3">
      <c r="A1" s="1" t="s">
        <v>527</v>
      </c>
    </row>
    <row r="2" spans="1:4" x14ac:dyDescent="0.25">
      <c r="A2" s="2" t="s">
        <v>528</v>
      </c>
    </row>
    <row r="4" spans="1:4" ht="27.95" customHeight="1" x14ac:dyDescent="0.25">
      <c r="A4" s="3" t="s">
        <v>529</v>
      </c>
      <c r="B4" s="3" t="s">
        <v>530</v>
      </c>
      <c r="C4" s="3" t="s">
        <v>531</v>
      </c>
      <c r="D4" s="3" t="s">
        <v>532</v>
      </c>
    </row>
    <row r="5" spans="1:4" ht="25.5" x14ac:dyDescent="0.25">
      <c r="A5" s="14">
        <v>1</v>
      </c>
      <c r="B5" s="4" t="s">
        <v>533</v>
      </c>
      <c r="C5" s="4" t="s">
        <v>534</v>
      </c>
      <c r="D5" s="4" t="s">
        <v>535</v>
      </c>
    </row>
    <row r="6" spans="1:4" x14ac:dyDescent="0.25">
      <c r="A6" s="14">
        <v>2</v>
      </c>
      <c r="B6" s="4" t="s">
        <v>536</v>
      </c>
      <c r="C6" s="4" t="s">
        <v>537</v>
      </c>
      <c r="D6" s="4" t="s">
        <v>538</v>
      </c>
    </row>
    <row r="7" spans="1:4" ht="25.5" x14ac:dyDescent="0.25">
      <c r="A7" s="14">
        <v>3</v>
      </c>
      <c r="B7" s="4" t="s">
        <v>539</v>
      </c>
      <c r="C7" s="4" t="s">
        <v>540</v>
      </c>
      <c r="D7" s="4" t="s">
        <v>541</v>
      </c>
    </row>
    <row r="8" spans="1:4" x14ac:dyDescent="0.25">
      <c r="A8" s="14">
        <v>4</v>
      </c>
      <c r="B8" s="4" t="s">
        <v>542</v>
      </c>
      <c r="C8" s="4" t="s">
        <v>543</v>
      </c>
      <c r="D8" s="4" t="s">
        <v>544</v>
      </c>
    </row>
    <row r="9" spans="1:4" ht="25.5" x14ac:dyDescent="0.25">
      <c r="A9" s="14">
        <v>5</v>
      </c>
      <c r="B9" s="4" t="s">
        <v>545</v>
      </c>
      <c r="C9" s="4" t="s">
        <v>546</v>
      </c>
      <c r="D9" s="4" t="s">
        <v>547</v>
      </c>
    </row>
    <row r="10" spans="1:4" ht="38.25" x14ac:dyDescent="0.25">
      <c r="A10" s="14">
        <v>6</v>
      </c>
      <c r="B10" s="4" t="s">
        <v>548</v>
      </c>
      <c r="C10" s="4" t="s">
        <v>549</v>
      </c>
      <c r="D10" s="4" t="s">
        <v>550</v>
      </c>
    </row>
    <row r="11" spans="1:4" ht="25.5" x14ac:dyDescent="0.25">
      <c r="A11" s="14">
        <v>7</v>
      </c>
      <c r="B11" s="4" t="s">
        <v>551</v>
      </c>
      <c r="C11" s="4" t="s">
        <v>552</v>
      </c>
      <c r="D11" s="4" t="s">
        <v>553</v>
      </c>
    </row>
    <row r="12" spans="1:4" ht="38.25" x14ac:dyDescent="0.25">
      <c r="A12" s="14">
        <v>8</v>
      </c>
      <c r="B12" s="4" t="s">
        <v>554</v>
      </c>
      <c r="C12" s="4" t="s">
        <v>555</v>
      </c>
      <c r="D12" s="4" t="s">
        <v>556</v>
      </c>
    </row>
    <row r="13" spans="1:4" ht="76.5" x14ac:dyDescent="0.25">
      <c r="A13" s="30" t="s">
        <v>557</v>
      </c>
      <c r="B13" s="30" t="s">
        <v>558</v>
      </c>
      <c r="C13" s="30" t="s">
        <v>559</v>
      </c>
      <c r="D13" s="30" t="s">
        <v>560</v>
      </c>
    </row>
  </sheetData>
  <pageMargins left="0.3" right="0.3" top="0.4" bottom="0.4" header="0.5" footer="0.5"/>
  <pageSetup scale="92" fitToHeight="0" orientation="landscape" r:id="rId1"/>
  <headerFooter>
    <oddFooter>&amp;C&amp;A  -  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Key</vt:lpstr>
      <vt:lpstr>Parameters</vt:lpstr>
      <vt:lpstr>Ranks and gates</vt:lpstr>
      <vt:lpstr>Layer 1 spine</vt:lpstr>
      <vt:lpstr>Layer 2 overrides</vt:lpstr>
      <vt:lpstr>Layer 3 second leg</vt:lpstr>
      <vt:lpstr>Law B waterfall</vt:lpstr>
      <vt:lpstr>Worked example</vt:lpstr>
      <vt:lpstr>Cap calculator</vt:lpstr>
      <vt:lpstr>Measured results</vt:lpstr>
      <vt:lpstr>Guardrails</vt: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Koziara</cp:lastModifiedBy>
  <cp:lastPrinted>2026-08-17T23:23:47Z</cp:lastPrinted>
  <dcterms:created xsi:type="dcterms:W3CDTF">2026-08-17T23:23:04Z</dcterms:created>
  <dcterms:modified xsi:type="dcterms:W3CDTF">2026-08-17T23:25:15Z</dcterms:modified>
</cp:coreProperties>
</file>